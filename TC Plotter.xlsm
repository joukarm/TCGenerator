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pp\Gottingen Jan 15\Present\Presentation\6-TC Plotter\"/>
    </mc:Choice>
  </mc:AlternateContent>
  <bookViews>
    <workbookView xWindow="480" yWindow="45" windowWidth="22995" windowHeight="10035" activeTab="2"/>
  </bookViews>
  <sheets>
    <sheet name="pD-Calculator-Range" sheetId="3" r:id="rId1"/>
    <sheet name="pD-TC" sheetId="4" r:id="rId2"/>
    <sheet name="pD-p'D-TC" sheetId="5" r:id="rId3"/>
    <sheet name="Vi-Coefficients" sheetId="1" r:id="rId4"/>
  </sheets>
  <functionGroups builtInGroupCount="18"/>
  <calcPr calcId="152511"/>
</workbook>
</file>

<file path=xl/calcChain.xml><?xml version="1.0" encoding="utf-8"?>
<calcChain xmlns="http://schemas.openxmlformats.org/spreadsheetml/2006/main">
  <c r="B121" i="5" l="1"/>
  <c r="B120" i="5"/>
  <c r="H120" i="5" s="1"/>
  <c r="B119" i="5"/>
  <c r="F119" i="5" s="1"/>
  <c r="B118" i="5"/>
  <c r="E118" i="5" s="1"/>
  <c r="B117" i="5"/>
  <c r="D117" i="5" s="1"/>
  <c r="B116" i="5"/>
  <c r="C116" i="5" s="1"/>
  <c r="B115" i="5"/>
  <c r="E115" i="5" s="1"/>
  <c r="B114" i="5"/>
  <c r="F114" i="5" s="1"/>
  <c r="B113" i="5"/>
  <c r="C113" i="5" s="1"/>
  <c r="B112" i="5"/>
  <c r="H112" i="5" s="1"/>
  <c r="B111" i="5"/>
  <c r="F111" i="5" s="1"/>
  <c r="B110" i="5"/>
  <c r="B109" i="5"/>
  <c r="D109" i="5" s="1"/>
  <c r="B108" i="5"/>
  <c r="C108" i="5" s="1"/>
  <c r="B107" i="5"/>
  <c r="G107" i="5" s="1"/>
  <c r="B106" i="5"/>
  <c r="C106" i="5" s="1"/>
  <c r="B105" i="5"/>
  <c r="E105" i="5" s="1"/>
  <c r="B104" i="5"/>
  <c r="H104" i="5" s="1"/>
  <c r="B103" i="5"/>
  <c r="F103" i="5" s="1"/>
  <c r="B102" i="5"/>
  <c r="F102" i="5" s="1"/>
  <c r="B101" i="5"/>
  <c r="D101" i="5" s="1"/>
  <c r="B100" i="5"/>
  <c r="C100" i="5" s="1"/>
  <c r="B99" i="5"/>
  <c r="E99" i="5" s="1"/>
  <c r="B98" i="5"/>
  <c r="B97" i="5"/>
  <c r="E97" i="5" s="1"/>
  <c r="B96" i="5"/>
  <c r="D96" i="5" s="1"/>
  <c r="B95" i="5"/>
  <c r="F95" i="5" s="1"/>
  <c r="B94" i="5"/>
  <c r="G94" i="5" s="1"/>
  <c r="B93" i="5"/>
  <c r="G93" i="5" s="1"/>
  <c r="B92" i="5"/>
  <c r="C92" i="5" s="1"/>
  <c r="B91" i="5"/>
  <c r="G91" i="5" s="1"/>
  <c r="B90" i="5"/>
  <c r="F90" i="5" s="1"/>
  <c r="B89" i="5"/>
  <c r="B88" i="5"/>
  <c r="D88" i="5" s="1"/>
  <c r="B87" i="5"/>
  <c r="F87" i="5" s="1"/>
  <c r="B86" i="5"/>
  <c r="G86" i="5" s="1"/>
  <c r="B85" i="5"/>
  <c r="G85" i="5" s="1"/>
  <c r="B84" i="5"/>
  <c r="C84" i="5" s="1"/>
  <c r="H83" i="5"/>
  <c r="E83" i="5"/>
  <c r="B83" i="5"/>
  <c r="G83" i="5" s="1"/>
  <c r="B82" i="5"/>
  <c r="G82" i="5" s="1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C22" i="5"/>
  <c r="B18" i="5"/>
  <c r="E13" i="5"/>
  <c r="E12" i="5"/>
  <c r="E11" i="5"/>
  <c r="E10" i="5"/>
  <c r="E9" i="5"/>
  <c r="E10" i="4"/>
  <c r="E11" i="4"/>
  <c r="E12" i="4"/>
  <c r="E13" i="4"/>
  <c r="E9" i="4"/>
  <c r="E22" i="5"/>
  <c r="D22" i="5"/>
  <c r="G22" i="5"/>
  <c r="H22" i="5"/>
  <c r="F22" i="5"/>
  <c r="D108" i="5" l="1"/>
  <c r="G99" i="5"/>
  <c r="G90" i="5"/>
  <c r="D116" i="5"/>
  <c r="F84" i="5"/>
  <c r="C111" i="5"/>
  <c r="C107" i="5"/>
  <c r="D87" i="5"/>
  <c r="F99" i="5"/>
  <c r="H99" i="5"/>
  <c r="E108" i="5"/>
  <c r="D111" i="5"/>
  <c r="F108" i="5"/>
  <c r="F117" i="5"/>
  <c r="H108" i="5"/>
  <c r="G101" i="5"/>
  <c r="C99" i="5"/>
  <c r="D107" i="5"/>
  <c r="F109" i="5"/>
  <c r="C87" i="5"/>
  <c r="D99" i="5"/>
  <c r="H102" i="5"/>
  <c r="H107" i="5"/>
  <c r="G115" i="5"/>
  <c r="H115" i="5"/>
  <c r="C23" i="5"/>
  <c r="E84" i="5"/>
  <c r="G87" i="5"/>
  <c r="G103" i="5"/>
  <c r="E107" i="5"/>
  <c r="E109" i="5"/>
  <c r="F118" i="5"/>
  <c r="H103" i="5"/>
  <c r="C83" i="5"/>
  <c r="H84" i="5"/>
  <c r="H88" i="5"/>
  <c r="F93" i="5"/>
  <c r="E101" i="5"/>
  <c r="C114" i="5"/>
  <c r="E116" i="5"/>
  <c r="C119" i="5"/>
  <c r="D83" i="5"/>
  <c r="F101" i="5"/>
  <c r="D114" i="5"/>
  <c r="H116" i="5"/>
  <c r="D119" i="5"/>
  <c r="F83" i="5"/>
  <c r="K83" i="5" s="1"/>
  <c r="F115" i="5"/>
  <c r="E117" i="5"/>
  <c r="H91" i="5"/>
  <c r="D82" i="5"/>
  <c r="E85" i="5"/>
  <c r="H87" i="5"/>
  <c r="C91" i="5"/>
  <c r="E92" i="5"/>
  <c r="C95" i="5"/>
  <c r="D100" i="5"/>
  <c r="F107" i="5"/>
  <c r="G111" i="5"/>
  <c r="G117" i="5"/>
  <c r="G119" i="5"/>
  <c r="F82" i="5"/>
  <c r="F85" i="5"/>
  <c r="D91" i="5"/>
  <c r="F92" i="5"/>
  <c r="D95" i="5"/>
  <c r="E100" i="5"/>
  <c r="H111" i="5"/>
  <c r="H119" i="5"/>
  <c r="D92" i="5"/>
  <c r="E91" i="5"/>
  <c r="H92" i="5"/>
  <c r="G95" i="5"/>
  <c r="F100" i="5"/>
  <c r="C115" i="5"/>
  <c r="D84" i="5"/>
  <c r="I83" i="5" s="1"/>
  <c r="F91" i="5"/>
  <c r="H95" i="5"/>
  <c r="H100" i="5"/>
  <c r="C103" i="5"/>
  <c r="G109" i="5"/>
  <c r="D115" i="5"/>
  <c r="F116" i="5"/>
  <c r="G118" i="5"/>
  <c r="D103" i="5"/>
  <c r="H118" i="5"/>
  <c r="E110" i="5"/>
  <c r="D110" i="5"/>
  <c r="C110" i="5"/>
  <c r="H89" i="5"/>
  <c r="G89" i="5"/>
  <c r="D89" i="5"/>
  <c r="G98" i="5"/>
  <c r="H98" i="5"/>
  <c r="E98" i="5"/>
  <c r="H110" i="5"/>
  <c r="C86" i="5"/>
  <c r="F89" i="5"/>
  <c r="F98" i="5"/>
  <c r="H106" i="5"/>
  <c r="G106" i="5"/>
  <c r="E106" i="5"/>
  <c r="H113" i="5"/>
  <c r="F113" i="5"/>
  <c r="G113" i="5"/>
  <c r="D113" i="5"/>
  <c r="G120" i="5"/>
  <c r="F120" i="5"/>
  <c r="E120" i="5"/>
  <c r="D120" i="5"/>
  <c r="C120" i="5"/>
  <c r="F110" i="5"/>
  <c r="E94" i="5"/>
  <c r="C94" i="5"/>
  <c r="D94" i="5"/>
  <c r="C98" i="5"/>
  <c r="G96" i="5"/>
  <c r="E96" i="5"/>
  <c r="F96" i="5"/>
  <c r="C96" i="5"/>
  <c r="H90" i="5"/>
  <c r="E90" i="5"/>
  <c r="H94" i="5"/>
  <c r="H96" i="5"/>
  <c r="H105" i="5"/>
  <c r="G105" i="5"/>
  <c r="F105" i="5"/>
  <c r="D105" i="5"/>
  <c r="C105" i="5"/>
  <c r="G110" i="5"/>
  <c r="C24" i="5"/>
  <c r="E89" i="5"/>
  <c r="F94" i="5"/>
  <c r="F86" i="5"/>
  <c r="H82" i="5"/>
  <c r="E82" i="5"/>
  <c r="C90" i="5"/>
  <c r="D93" i="5"/>
  <c r="C93" i="5"/>
  <c r="H93" i="5"/>
  <c r="H97" i="5"/>
  <c r="G97" i="5"/>
  <c r="F97" i="5"/>
  <c r="D97" i="5"/>
  <c r="G104" i="5"/>
  <c r="F104" i="5"/>
  <c r="E104" i="5"/>
  <c r="C104" i="5"/>
  <c r="D106" i="5"/>
  <c r="E113" i="5"/>
  <c r="H121" i="5"/>
  <c r="F121" i="5"/>
  <c r="G121" i="5"/>
  <c r="E121" i="5"/>
  <c r="D121" i="5"/>
  <c r="G112" i="5"/>
  <c r="F112" i="5"/>
  <c r="E112" i="5"/>
  <c r="C112" i="5"/>
  <c r="M111" i="5" s="1"/>
  <c r="C89" i="5"/>
  <c r="D112" i="5"/>
  <c r="E86" i="5"/>
  <c r="D86" i="5"/>
  <c r="D98" i="5"/>
  <c r="G88" i="5"/>
  <c r="F88" i="5"/>
  <c r="C88" i="5"/>
  <c r="E102" i="5"/>
  <c r="D102" i="5"/>
  <c r="C102" i="5"/>
  <c r="C82" i="5"/>
  <c r="L82" i="5" s="1"/>
  <c r="D85" i="5"/>
  <c r="C85" i="5"/>
  <c r="H85" i="5"/>
  <c r="M84" i="5" s="1"/>
  <c r="H86" i="5"/>
  <c r="E88" i="5"/>
  <c r="D90" i="5"/>
  <c r="E93" i="5"/>
  <c r="C97" i="5"/>
  <c r="G102" i="5"/>
  <c r="D104" i="5"/>
  <c r="F106" i="5"/>
  <c r="H114" i="5"/>
  <c r="G114" i="5"/>
  <c r="E114" i="5"/>
  <c r="C121" i="5"/>
  <c r="G84" i="5"/>
  <c r="G92" i="5"/>
  <c r="G100" i="5"/>
  <c r="H101" i="5"/>
  <c r="G108" i="5"/>
  <c r="H109" i="5"/>
  <c r="G116" i="5"/>
  <c r="H117" i="5"/>
  <c r="E87" i="5"/>
  <c r="E95" i="5"/>
  <c r="C101" i="5"/>
  <c r="I100" i="5" s="1"/>
  <c r="E103" i="5"/>
  <c r="C109" i="5"/>
  <c r="K108" i="5" s="1"/>
  <c r="E111" i="5"/>
  <c r="C117" i="5"/>
  <c r="D118" i="5"/>
  <c r="E119" i="5"/>
  <c r="C118" i="5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C22" i="4"/>
  <c r="B18" i="4"/>
  <c r="H22" i="4"/>
  <c r="E22" i="4"/>
  <c r="E23" i="5"/>
  <c r="G24" i="5"/>
  <c r="G23" i="5"/>
  <c r="E24" i="5"/>
  <c r="F22" i="4"/>
  <c r="D23" i="5"/>
  <c r="F23" i="5"/>
  <c r="G22" i="4"/>
  <c r="H23" i="5"/>
  <c r="H24" i="5"/>
  <c r="D22" i="4"/>
  <c r="D24" i="5"/>
  <c r="F24" i="5"/>
  <c r="L86" i="5" l="1"/>
  <c r="J107" i="5"/>
  <c r="M83" i="5"/>
  <c r="K115" i="5"/>
  <c r="J115" i="5"/>
  <c r="M107" i="5"/>
  <c r="J114" i="5"/>
  <c r="K113" i="5"/>
  <c r="K107" i="5"/>
  <c r="I107" i="5"/>
  <c r="I115" i="5"/>
  <c r="I95" i="5"/>
  <c r="I87" i="5"/>
  <c r="L91" i="5"/>
  <c r="M106" i="5"/>
  <c r="M115" i="5"/>
  <c r="K99" i="5"/>
  <c r="M118" i="5"/>
  <c r="L99" i="5"/>
  <c r="M99" i="5"/>
  <c r="J99" i="5"/>
  <c r="K87" i="5"/>
  <c r="I99" i="5"/>
  <c r="L93" i="5"/>
  <c r="L115" i="5"/>
  <c r="J83" i="5"/>
  <c r="J117" i="5"/>
  <c r="K101" i="5"/>
  <c r="K90" i="5"/>
  <c r="M119" i="5"/>
  <c r="I91" i="5"/>
  <c r="K114" i="5"/>
  <c r="L94" i="5"/>
  <c r="J91" i="5"/>
  <c r="M91" i="5"/>
  <c r="I114" i="5"/>
  <c r="M87" i="5"/>
  <c r="M22" i="5"/>
  <c r="K22" i="5"/>
  <c r="I22" i="5"/>
  <c r="L22" i="5"/>
  <c r="K91" i="5"/>
  <c r="M103" i="5"/>
  <c r="L87" i="5"/>
  <c r="K82" i="5"/>
  <c r="M92" i="5"/>
  <c r="J100" i="5"/>
  <c r="K103" i="5"/>
  <c r="J109" i="5"/>
  <c r="M112" i="5"/>
  <c r="K92" i="5"/>
  <c r="L111" i="5"/>
  <c r="I96" i="5"/>
  <c r="M104" i="5"/>
  <c r="L95" i="5"/>
  <c r="I119" i="5"/>
  <c r="L98" i="5"/>
  <c r="J110" i="5"/>
  <c r="L103" i="5"/>
  <c r="J96" i="5"/>
  <c r="M95" i="5"/>
  <c r="I116" i="5"/>
  <c r="J92" i="5"/>
  <c r="K109" i="5"/>
  <c r="K119" i="5"/>
  <c r="I92" i="5"/>
  <c r="K95" i="5"/>
  <c r="J97" i="5"/>
  <c r="K111" i="5"/>
  <c r="I82" i="5"/>
  <c r="I103" i="5"/>
  <c r="L85" i="5"/>
  <c r="I111" i="5"/>
  <c r="K94" i="5"/>
  <c r="L119" i="5"/>
  <c r="M88" i="5"/>
  <c r="K116" i="5"/>
  <c r="J101" i="5"/>
  <c r="K118" i="5"/>
  <c r="L117" i="5"/>
  <c r="K102" i="5"/>
  <c r="M100" i="5"/>
  <c r="I88" i="5"/>
  <c r="K100" i="5"/>
  <c r="L90" i="5"/>
  <c r="J116" i="5"/>
  <c r="K84" i="5"/>
  <c r="J108" i="5"/>
  <c r="I84" i="5"/>
  <c r="M102" i="5"/>
  <c r="J102" i="5"/>
  <c r="J118" i="5"/>
  <c r="L118" i="5"/>
  <c r="L101" i="5"/>
  <c r="M116" i="5"/>
  <c r="I98" i="5"/>
  <c r="J84" i="5"/>
  <c r="K117" i="5"/>
  <c r="M108" i="5"/>
  <c r="J85" i="5"/>
  <c r="K93" i="5"/>
  <c r="I108" i="5"/>
  <c r="J94" i="5"/>
  <c r="J112" i="5"/>
  <c r="J86" i="5"/>
  <c r="J89" i="5"/>
  <c r="J93" i="5"/>
  <c r="J23" i="5"/>
  <c r="J22" i="5"/>
  <c r="J103" i="5"/>
  <c r="J111" i="5"/>
  <c r="J120" i="5"/>
  <c r="J121" i="5"/>
  <c r="J98" i="5"/>
  <c r="J113" i="5"/>
  <c r="J95" i="5"/>
  <c r="J90" i="5"/>
  <c r="J87" i="5"/>
  <c r="J82" i="5"/>
  <c r="J88" i="5"/>
  <c r="J105" i="5"/>
  <c r="J106" i="5"/>
  <c r="J104" i="5"/>
  <c r="J119" i="5"/>
  <c r="L96" i="5"/>
  <c r="L88" i="5"/>
  <c r="L23" i="5"/>
  <c r="L109" i="5"/>
  <c r="L110" i="5"/>
  <c r="L102" i="5"/>
  <c r="L112" i="5"/>
  <c r="L89" i="5"/>
  <c r="L83" i="5"/>
  <c r="L84" i="5"/>
  <c r="L92" i="5"/>
  <c r="L120" i="5"/>
  <c r="L121" i="5"/>
  <c r="L104" i="5"/>
  <c r="L100" i="5"/>
  <c r="L107" i="5"/>
  <c r="L108" i="5"/>
  <c r="L114" i="5"/>
  <c r="L113" i="5"/>
  <c r="L97" i="5"/>
  <c r="L116" i="5"/>
  <c r="L105" i="5"/>
  <c r="L106" i="5"/>
  <c r="M82" i="5"/>
  <c r="M117" i="5"/>
  <c r="M89" i="5"/>
  <c r="M96" i="5"/>
  <c r="M90" i="5"/>
  <c r="M23" i="5"/>
  <c r="M97" i="5"/>
  <c r="M98" i="5"/>
  <c r="M113" i="5"/>
  <c r="M114" i="5"/>
  <c r="M85" i="5"/>
  <c r="M86" i="5"/>
  <c r="M121" i="5"/>
  <c r="M120" i="5"/>
  <c r="M93" i="5"/>
  <c r="M94" i="5"/>
  <c r="M105" i="5"/>
  <c r="M109" i="5"/>
  <c r="M110" i="5"/>
  <c r="M101" i="5"/>
  <c r="K112" i="5"/>
  <c r="K105" i="5"/>
  <c r="K23" i="5"/>
  <c r="K88" i="5"/>
  <c r="K85" i="5"/>
  <c r="K86" i="5"/>
  <c r="K104" i="5"/>
  <c r="K121" i="5"/>
  <c r="K120" i="5"/>
  <c r="K110" i="5"/>
  <c r="K106" i="5"/>
  <c r="K96" i="5"/>
  <c r="K89" i="5"/>
  <c r="K97" i="5"/>
  <c r="K98" i="5"/>
  <c r="I89" i="5"/>
  <c r="I105" i="5"/>
  <c r="I23" i="5"/>
  <c r="I102" i="5"/>
  <c r="I101" i="5"/>
  <c r="I94" i="5"/>
  <c r="I93" i="5"/>
  <c r="I118" i="5"/>
  <c r="I117" i="5"/>
  <c r="I112" i="5"/>
  <c r="I113" i="5"/>
  <c r="I106" i="5"/>
  <c r="I85" i="5"/>
  <c r="I86" i="5"/>
  <c r="I90" i="5"/>
  <c r="I97" i="5"/>
  <c r="I120" i="5"/>
  <c r="I121" i="5"/>
  <c r="I104" i="5"/>
  <c r="I109" i="5"/>
  <c r="I110" i="5"/>
  <c r="C25" i="5"/>
  <c r="G94" i="4"/>
  <c r="F94" i="4"/>
  <c r="D94" i="4"/>
  <c r="E94" i="4"/>
  <c r="H94" i="4"/>
  <c r="C118" i="4"/>
  <c r="G118" i="4"/>
  <c r="F118" i="4"/>
  <c r="D118" i="4"/>
  <c r="H118" i="4"/>
  <c r="E118" i="4"/>
  <c r="G87" i="4"/>
  <c r="H87" i="4"/>
  <c r="D87" i="4"/>
  <c r="F87" i="4"/>
  <c r="E87" i="4"/>
  <c r="G111" i="4"/>
  <c r="H111" i="4"/>
  <c r="E111" i="4"/>
  <c r="F111" i="4"/>
  <c r="D111" i="4"/>
  <c r="H88" i="4"/>
  <c r="D88" i="4"/>
  <c r="G88" i="4"/>
  <c r="F88" i="4"/>
  <c r="E88" i="4"/>
  <c r="H104" i="4"/>
  <c r="D104" i="4"/>
  <c r="G104" i="4"/>
  <c r="F104" i="4"/>
  <c r="E104" i="4"/>
  <c r="H112" i="4"/>
  <c r="D112" i="4"/>
  <c r="G112" i="4"/>
  <c r="E112" i="4"/>
  <c r="F112" i="4"/>
  <c r="C90" i="4"/>
  <c r="E90" i="4"/>
  <c r="H90" i="4"/>
  <c r="G90" i="4"/>
  <c r="F90" i="4"/>
  <c r="D90" i="4"/>
  <c r="C98" i="4"/>
  <c r="E98" i="4"/>
  <c r="H98" i="4"/>
  <c r="D98" i="4"/>
  <c r="G98" i="4"/>
  <c r="F98" i="4"/>
  <c r="C106" i="4"/>
  <c r="E106" i="4"/>
  <c r="H106" i="4"/>
  <c r="D106" i="4"/>
  <c r="G106" i="4"/>
  <c r="F106" i="4"/>
  <c r="C114" i="4"/>
  <c r="E114" i="4"/>
  <c r="H114" i="4"/>
  <c r="G114" i="4"/>
  <c r="F114" i="4"/>
  <c r="D114" i="4"/>
  <c r="E91" i="4"/>
  <c r="H91" i="4"/>
  <c r="G91" i="4"/>
  <c r="F91" i="4"/>
  <c r="D91" i="4"/>
  <c r="E99" i="4"/>
  <c r="D99" i="4"/>
  <c r="H99" i="4"/>
  <c r="G99" i="4"/>
  <c r="F99" i="4"/>
  <c r="E107" i="4"/>
  <c r="D107" i="4"/>
  <c r="H107" i="4"/>
  <c r="G107" i="4"/>
  <c r="F107" i="4"/>
  <c r="C115" i="4"/>
  <c r="E115" i="4"/>
  <c r="D115" i="4"/>
  <c r="H115" i="4"/>
  <c r="G115" i="4"/>
  <c r="F115" i="4"/>
  <c r="C110" i="4"/>
  <c r="G110" i="4"/>
  <c r="F110" i="4"/>
  <c r="D110" i="4"/>
  <c r="H110" i="4"/>
  <c r="E110" i="4"/>
  <c r="G103" i="4"/>
  <c r="F103" i="4"/>
  <c r="D103" i="4"/>
  <c r="E103" i="4"/>
  <c r="H103" i="4"/>
  <c r="F92" i="4"/>
  <c r="E92" i="4"/>
  <c r="H92" i="4"/>
  <c r="G92" i="4"/>
  <c r="D92" i="4"/>
  <c r="C100" i="4"/>
  <c r="F100" i="4"/>
  <c r="H100" i="4"/>
  <c r="G100" i="4"/>
  <c r="D100" i="4"/>
  <c r="E100" i="4"/>
  <c r="F108" i="4"/>
  <c r="D108" i="4"/>
  <c r="H108" i="4"/>
  <c r="G108" i="4"/>
  <c r="E108" i="4"/>
  <c r="F116" i="4"/>
  <c r="D116" i="4"/>
  <c r="H116" i="4"/>
  <c r="G116" i="4"/>
  <c r="E116" i="4"/>
  <c r="F93" i="4"/>
  <c r="D93" i="4"/>
  <c r="E93" i="4"/>
  <c r="H93" i="4"/>
  <c r="G93" i="4"/>
  <c r="C101" i="4"/>
  <c r="F101" i="4"/>
  <c r="E101" i="4"/>
  <c r="H101" i="4"/>
  <c r="G101" i="4"/>
  <c r="D101" i="4"/>
  <c r="F109" i="4"/>
  <c r="D109" i="4"/>
  <c r="H109" i="4"/>
  <c r="G109" i="4"/>
  <c r="E109" i="4"/>
  <c r="F117" i="4"/>
  <c r="D117" i="4"/>
  <c r="H117" i="4"/>
  <c r="G117" i="4"/>
  <c r="E117" i="4"/>
  <c r="G102" i="4"/>
  <c r="F102" i="4"/>
  <c r="E102" i="4"/>
  <c r="H102" i="4"/>
  <c r="D102" i="4"/>
  <c r="G95" i="4"/>
  <c r="D95" i="4"/>
  <c r="F95" i="4"/>
  <c r="E95" i="4"/>
  <c r="H95" i="4"/>
  <c r="G119" i="4"/>
  <c r="F119" i="4"/>
  <c r="D119" i="4"/>
  <c r="H119" i="4"/>
  <c r="E119" i="4"/>
  <c r="H96" i="4"/>
  <c r="D96" i="4"/>
  <c r="G96" i="4"/>
  <c r="F96" i="4"/>
  <c r="E96" i="4"/>
  <c r="H120" i="4"/>
  <c r="D120" i="4"/>
  <c r="G120" i="4"/>
  <c r="F120" i="4"/>
  <c r="E120" i="4"/>
  <c r="H89" i="4"/>
  <c r="D89" i="4"/>
  <c r="G89" i="4"/>
  <c r="F89" i="4"/>
  <c r="E89" i="4"/>
  <c r="H97" i="4"/>
  <c r="D97" i="4"/>
  <c r="G97" i="4"/>
  <c r="F97" i="4"/>
  <c r="E97" i="4"/>
  <c r="C105" i="4"/>
  <c r="H105" i="4"/>
  <c r="D105" i="4"/>
  <c r="G105" i="4"/>
  <c r="F105" i="4"/>
  <c r="E105" i="4"/>
  <c r="C113" i="4"/>
  <c r="H113" i="4"/>
  <c r="D113" i="4"/>
  <c r="E113" i="4"/>
  <c r="G113" i="4"/>
  <c r="F113" i="4"/>
  <c r="C121" i="4"/>
  <c r="H121" i="4"/>
  <c r="D121" i="4"/>
  <c r="E121" i="4"/>
  <c r="G121" i="4"/>
  <c r="F121" i="4"/>
  <c r="C99" i="4"/>
  <c r="C94" i="4"/>
  <c r="C93" i="4"/>
  <c r="C91" i="4"/>
  <c r="C117" i="4"/>
  <c r="C109" i="4"/>
  <c r="C102" i="4"/>
  <c r="C107" i="4"/>
  <c r="C89" i="4"/>
  <c r="C92" i="4"/>
  <c r="C108" i="4"/>
  <c r="C116" i="4"/>
  <c r="C23" i="4"/>
  <c r="C87" i="4"/>
  <c r="C95" i="4"/>
  <c r="C103" i="4"/>
  <c r="C111" i="4"/>
  <c r="C119" i="4"/>
  <c r="C97" i="4"/>
  <c r="C88" i="4"/>
  <c r="C96" i="4"/>
  <c r="C104" i="4"/>
  <c r="C112" i="4"/>
  <c r="C120" i="4"/>
  <c r="C22" i="3"/>
  <c r="B16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D82" i="3" s="1"/>
  <c r="B83" i="3"/>
  <c r="D83" i="3" s="1"/>
  <c r="B84" i="3"/>
  <c r="D84" i="3" s="1"/>
  <c r="B85" i="3"/>
  <c r="D85" i="3" s="1"/>
  <c r="B86" i="3"/>
  <c r="D86" i="3" s="1"/>
  <c r="B87" i="3"/>
  <c r="D87" i="3" s="1"/>
  <c r="B88" i="3"/>
  <c r="D88" i="3" s="1"/>
  <c r="B89" i="3"/>
  <c r="D89" i="3" s="1"/>
  <c r="B90" i="3"/>
  <c r="D90" i="3" s="1"/>
  <c r="B91" i="3"/>
  <c r="D91" i="3" s="1"/>
  <c r="B92" i="3"/>
  <c r="D92" i="3" s="1"/>
  <c r="B93" i="3"/>
  <c r="D93" i="3" s="1"/>
  <c r="B94" i="3"/>
  <c r="D94" i="3" s="1"/>
  <c r="B95" i="3"/>
  <c r="D95" i="3" s="1"/>
  <c r="B96" i="3"/>
  <c r="D96" i="3" s="1"/>
  <c r="B97" i="3"/>
  <c r="D97" i="3" s="1"/>
  <c r="B98" i="3"/>
  <c r="D98" i="3" s="1"/>
  <c r="B99" i="3"/>
  <c r="D99" i="3" s="1"/>
  <c r="B100" i="3"/>
  <c r="D100" i="3" s="1"/>
  <c r="B101" i="3"/>
  <c r="D101" i="3" s="1"/>
  <c r="B102" i="3"/>
  <c r="D102" i="3" s="1"/>
  <c r="B103" i="3"/>
  <c r="D103" i="3" s="1"/>
  <c r="B104" i="3"/>
  <c r="D104" i="3" s="1"/>
  <c r="B105" i="3"/>
  <c r="D105" i="3" s="1"/>
  <c r="B106" i="3"/>
  <c r="D106" i="3" s="1"/>
  <c r="B107" i="3"/>
  <c r="D107" i="3" s="1"/>
  <c r="B108" i="3"/>
  <c r="D108" i="3" s="1"/>
  <c r="B109" i="3"/>
  <c r="D109" i="3" s="1"/>
  <c r="B110" i="3"/>
  <c r="D110" i="3" s="1"/>
  <c r="B111" i="3"/>
  <c r="D111" i="3" s="1"/>
  <c r="B112" i="3"/>
  <c r="D112" i="3" s="1"/>
  <c r="B113" i="3"/>
  <c r="D113" i="3" s="1"/>
  <c r="B114" i="3"/>
  <c r="D114" i="3" s="1"/>
  <c r="B115" i="3"/>
  <c r="D115" i="3" s="1"/>
  <c r="B116" i="3"/>
  <c r="D116" i="3" s="1"/>
  <c r="B117" i="3"/>
  <c r="D117" i="3" s="1"/>
  <c r="B118" i="3"/>
  <c r="D118" i="3" s="1"/>
  <c r="B119" i="3"/>
  <c r="D119" i="3" s="1"/>
  <c r="B120" i="3"/>
  <c r="D120" i="3" s="1"/>
  <c r="B121" i="3"/>
  <c r="D121" i="3" s="1"/>
  <c r="B24" i="3"/>
  <c r="B25" i="3"/>
  <c r="B26" i="3"/>
  <c r="B27" i="3"/>
  <c r="B28" i="3"/>
  <c r="B29" i="3"/>
  <c r="B30" i="3"/>
  <c r="B31" i="3"/>
  <c r="B23" i="3"/>
  <c r="B2" i="1"/>
  <c r="F25" i="5"/>
  <c r="B3" i="1"/>
  <c r="H23" i="4"/>
  <c r="F23" i="4"/>
  <c r="G23" i="4"/>
  <c r="G25" i="5"/>
  <c r="E23" i="4"/>
  <c r="D25" i="5"/>
  <c r="D23" i="4"/>
  <c r="H25" i="5"/>
  <c r="D22" i="3"/>
  <c r="E25" i="5"/>
  <c r="J24" i="5" l="1"/>
  <c r="L24" i="5"/>
  <c r="M24" i="5"/>
  <c r="K24" i="5"/>
  <c r="I24" i="5"/>
  <c r="C26" i="5"/>
  <c r="C24" i="4"/>
  <c r="C23" i="3"/>
  <c r="E26" i="5"/>
  <c r="G24" i="4"/>
  <c r="F24" i="4"/>
  <c r="H24" i="4"/>
  <c r="F26" i="5"/>
  <c r="G26" i="5"/>
  <c r="D24" i="4"/>
  <c r="D26" i="5"/>
  <c r="E24" i="4"/>
  <c r="D23" i="3"/>
  <c r="H26" i="5"/>
  <c r="J25" i="5" l="1"/>
  <c r="L25" i="5"/>
  <c r="M25" i="5"/>
  <c r="K25" i="5"/>
  <c r="I25" i="5"/>
  <c r="C27" i="5"/>
  <c r="C24" i="3"/>
  <c r="C25" i="3" s="1"/>
  <c r="C25" i="4"/>
  <c r="D27" i="5"/>
  <c r="I13" i="1"/>
  <c r="F6" i="1"/>
  <c r="J2" i="1"/>
  <c r="E9" i="1"/>
  <c r="K4" i="1"/>
  <c r="K20" i="1"/>
  <c r="J6" i="1"/>
  <c r="D25" i="3"/>
  <c r="D5" i="1"/>
  <c r="I3" i="1"/>
  <c r="J13" i="1"/>
  <c r="K13" i="1"/>
  <c r="L17" i="1"/>
  <c r="L23" i="1"/>
  <c r="G3" i="1"/>
  <c r="K10" i="1"/>
  <c r="D4" i="1"/>
  <c r="E4" i="1"/>
  <c r="J17" i="1"/>
  <c r="L18" i="1"/>
  <c r="C4" i="1"/>
  <c r="J9" i="1"/>
  <c r="I12" i="1"/>
  <c r="K19" i="1"/>
  <c r="K9" i="1"/>
  <c r="H7" i="1"/>
  <c r="L10" i="1"/>
  <c r="E25" i="4"/>
  <c r="L7" i="1"/>
  <c r="G7" i="1"/>
  <c r="K6" i="1"/>
  <c r="I9" i="1"/>
  <c r="F25" i="4"/>
  <c r="G12" i="1"/>
  <c r="I2" i="1"/>
  <c r="F9" i="1"/>
  <c r="L2" i="1"/>
  <c r="J16" i="1"/>
  <c r="K11" i="1"/>
  <c r="K16" i="1"/>
  <c r="I4" i="1"/>
  <c r="G25" i="4"/>
  <c r="L8" i="1"/>
  <c r="K12" i="1"/>
  <c r="G6" i="1"/>
  <c r="J19" i="1"/>
  <c r="C5" i="1"/>
  <c r="L19" i="1"/>
  <c r="D7" i="1"/>
  <c r="F5" i="1"/>
  <c r="D3" i="1"/>
  <c r="D6" i="1"/>
  <c r="I7" i="1"/>
  <c r="J18" i="1"/>
  <c r="I16" i="1"/>
  <c r="G9" i="1"/>
  <c r="L11" i="1"/>
  <c r="I10" i="1"/>
  <c r="F8" i="1"/>
  <c r="H25" i="4"/>
  <c r="L20" i="1"/>
  <c r="K7" i="1"/>
  <c r="J14" i="1"/>
  <c r="J11" i="1"/>
  <c r="F2" i="1"/>
  <c r="I15" i="1"/>
  <c r="H27" i="5"/>
  <c r="G5" i="1"/>
  <c r="I8" i="1"/>
  <c r="J7" i="1"/>
  <c r="K2" i="1"/>
  <c r="H3" i="1"/>
  <c r="E27" i="5"/>
  <c r="F4" i="1"/>
  <c r="K8" i="1"/>
  <c r="L15" i="1"/>
  <c r="F10" i="1"/>
  <c r="K21" i="1"/>
  <c r="E8" i="1"/>
  <c r="J3" i="1"/>
  <c r="I14" i="1"/>
  <c r="F11" i="1"/>
  <c r="I17" i="1"/>
  <c r="I6" i="1"/>
  <c r="L13" i="1"/>
  <c r="J4" i="1"/>
  <c r="K3" i="1"/>
  <c r="G27" i="5"/>
  <c r="K5" i="1"/>
  <c r="H8" i="1"/>
  <c r="D24" i="3"/>
  <c r="H10" i="1"/>
  <c r="E3" i="1"/>
  <c r="J15" i="1"/>
  <c r="G13" i="1"/>
  <c r="F27" i="5"/>
  <c r="L12" i="1"/>
  <c r="H2" i="1"/>
  <c r="G2" i="1"/>
  <c r="H5" i="1"/>
  <c r="H11" i="1"/>
  <c r="E5" i="1"/>
  <c r="L4" i="1"/>
  <c r="H15" i="1"/>
  <c r="G10" i="1"/>
  <c r="D25" i="4"/>
  <c r="L9" i="1"/>
  <c r="G8" i="1"/>
  <c r="L21" i="1"/>
  <c r="L5" i="1"/>
  <c r="G4" i="1"/>
  <c r="L14" i="1"/>
  <c r="E7" i="1"/>
  <c r="L3" i="1"/>
  <c r="K18" i="1"/>
  <c r="K14" i="1"/>
  <c r="H9" i="1"/>
  <c r="D2" i="1"/>
  <c r="K17" i="1"/>
  <c r="H12" i="1"/>
  <c r="I5" i="1"/>
  <c r="J10" i="1"/>
  <c r="J12" i="1"/>
  <c r="F7" i="1"/>
  <c r="H6" i="1"/>
  <c r="G11" i="1"/>
  <c r="C3" i="1"/>
  <c r="I11" i="1"/>
  <c r="J8" i="1"/>
  <c r="L22" i="1"/>
  <c r="E2" i="1"/>
  <c r="L16" i="1"/>
  <c r="H13" i="1"/>
  <c r="K15" i="1"/>
  <c r="H14" i="1"/>
  <c r="H4" i="1"/>
  <c r="L6" i="1"/>
  <c r="F3" i="1"/>
  <c r="J5" i="1"/>
  <c r="C2" i="1"/>
  <c r="E6" i="1"/>
  <c r="J26" i="5" l="1"/>
  <c r="L26" i="5"/>
  <c r="M26" i="5"/>
  <c r="K26" i="5"/>
  <c r="I26" i="5"/>
  <c r="C28" i="5"/>
  <c r="C26" i="4"/>
  <c r="C26" i="3"/>
  <c r="E28" i="5"/>
  <c r="G28" i="5"/>
  <c r="F28" i="5"/>
  <c r="D26" i="4"/>
  <c r="F26" i="4"/>
  <c r="H26" i="4"/>
  <c r="H28" i="5"/>
  <c r="G26" i="4"/>
  <c r="E26" i="4"/>
  <c r="D28" i="5"/>
  <c r="D26" i="3"/>
  <c r="J27" i="5" l="1"/>
  <c r="L27" i="5"/>
  <c r="M27" i="5"/>
  <c r="K27" i="5"/>
  <c r="I27" i="5"/>
  <c r="C29" i="5"/>
  <c r="C27" i="4"/>
  <c r="C27" i="3"/>
  <c r="D29" i="5"/>
  <c r="F27" i="4"/>
  <c r="G27" i="4"/>
  <c r="H27" i="4"/>
  <c r="D27" i="3"/>
  <c r="D27" i="4"/>
  <c r="G29" i="5"/>
  <c r="E27" i="4"/>
  <c r="H29" i="5"/>
  <c r="E29" i="5"/>
  <c r="F29" i="5"/>
  <c r="J28" i="5" l="1"/>
  <c r="L28" i="5"/>
  <c r="M28" i="5"/>
  <c r="K28" i="5"/>
  <c r="I28" i="5"/>
  <c r="C30" i="5"/>
  <c r="C28" i="4"/>
  <c r="C28" i="3"/>
  <c r="E30" i="5"/>
  <c r="H30" i="5"/>
  <c r="D28" i="4"/>
  <c r="F28" i="4"/>
  <c r="H28" i="4"/>
  <c r="G28" i="4"/>
  <c r="F30" i="5"/>
  <c r="E28" i="4"/>
  <c r="D28" i="3"/>
  <c r="G30" i="5"/>
  <c r="D30" i="5"/>
  <c r="J29" i="5" l="1"/>
  <c r="L29" i="5"/>
  <c r="M29" i="5"/>
  <c r="K29" i="5"/>
  <c r="I29" i="5"/>
  <c r="C31" i="5"/>
  <c r="C29" i="4"/>
  <c r="C29" i="3"/>
  <c r="E31" i="5"/>
  <c r="D31" i="5"/>
  <c r="G29" i="4"/>
  <c r="H29" i="4"/>
  <c r="F29" i="4"/>
  <c r="D29" i="4"/>
  <c r="D29" i="3"/>
  <c r="E29" i="4"/>
  <c r="H31" i="5"/>
  <c r="G31" i="5"/>
  <c r="F31" i="5"/>
  <c r="J30" i="5" l="1"/>
  <c r="L30" i="5"/>
  <c r="M30" i="5"/>
  <c r="K30" i="5"/>
  <c r="I30" i="5"/>
  <c r="C32" i="5"/>
  <c r="C30" i="4"/>
  <c r="C30" i="3"/>
  <c r="E32" i="5"/>
  <c r="D30" i="3"/>
  <c r="F32" i="5"/>
  <c r="D30" i="4"/>
  <c r="G30" i="4"/>
  <c r="D32" i="5"/>
  <c r="E30" i="4"/>
  <c r="G32" i="5"/>
  <c r="H30" i="4"/>
  <c r="H32" i="5"/>
  <c r="F30" i="4"/>
  <c r="J31" i="5" l="1"/>
  <c r="L31" i="5"/>
  <c r="M31" i="5"/>
  <c r="K31" i="5"/>
  <c r="I31" i="5"/>
  <c r="C33" i="5"/>
  <c r="C31" i="4"/>
  <c r="C31" i="3"/>
  <c r="D33" i="5"/>
  <c r="G31" i="4"/>
  <c r="H33" i="5"/>
  <c r="E31" i="4"/>
  <c r="F33" i="5"/>
  <c r="D31" i="4"/>
  <c r="H31" i="4"/>
  <c r="D31" i="3"/>
  <c r="E33" i="5"/>
  <c r="F31" i="4"/>
  <c r="G33" i="5"/>
  <c r="J32" i="5" l="1"/>
  <c r="L32" i="5"/>
  <c r="M32" i="5"/>
  <c r="K32" i="5"/>
  <c r="I32" i="5"/>
  <c r="C34" i="5"/>
  <c r="C32" i="4"/>
  <c r="C32" i="3"/>
  <c r="G34" i="5"/>
  <c r="D32" i="3"/>
  <c r="H32" i="4"/>
  <c r="D32" i="4"/>
  <c r="F34" i="5"/>
  <c r="D34" i="5"/>
  <c r="F32" i="4"/>
  <c r="E34" i="5"/>
  <c r="G32" i="4"/>
  <c r="E32" i="4"/>
  <c r="H34" i="5"/>
  <c r="J33" i="5" l="1"/>
  <c r="L33" i="5"/>
  <c r="M33" i="5"/>
  <c r="K33" i="5"/>
  <c r="I33" i="5"/>
  <c r="C35" i="5"/>
  <c r="C33" i="4"/>
  <c r="C33" i="3"/>
  <c r="D35" i="5"/>
  <c r="E35" i="5"/>
  <c r="G33" i="4"/>
  <c r="D33" i="4"/>
  <c r="F33" i="4"/>
  <c r="D33" i="3"/>
  <c r="H33" i="4"/>
  <c r="G35" i="5"/>
  <c r="F35" i="5"/>
  <c r="H35" i="5"/>
  <c r="E33" i="4"/>
  <c r="J34" i="5" l="1"/>
  <c r="L34" i="5"/>
  <c r="M34" i="5"/>
  <c r="K34" i="5"/>
  <c r="I34" i="5"/>
  <c r="C36" i="5"/>
  <c r="C34" i="4"/>
  <c r="C34" i="3"/>
  <c r="H36" i="5"/>
  <c r="E36" i="5"/>
  <c r="G34" i="4"/>
  <c r="D34" i="4"/>
  <c r="F36" i="5"/>
  <c r="F34" i="4"/>
  <c r="H34" i="4"/>
  <c r="D34" i="3"/>
  <c r="D36" i="5"/>
  <c r="G36" i="5"/>
  <c r="E34" i="4"/>
  <c r="J35" i="5" l="1"/>
  <c r="L35" i="5"/>
  <c r="M35" i="5"/>
  <c r="K35" i="5"/>
  <c r="I35" i="5"/>
  <c r="C37" i="5"/>
  <c r="C35" i="4"/>
  <c r="C35" i="3"/>
  <c r="H37" i="5"/>
  <c r="H35" i="4"/>
  <c r="D35" i="4"/>
  <c r="F37" i="5"/>
  <c r="E35" i="4"/>
  <c r="F35" i="4"/>
  <c r="G37" i="5"/>
  <c r="G35" i="4"/>
  <c r="D37" i="5"/>
  <c r="D35" i="3"/>
  <c r="E37" i="5"/>
  <c r="J36" i="5" l="1"/>
  <c r="L36" i="5"/>
  <c r="M36" i="5"/>
  <c r="K36" i="5"/>
  <c r="I36" i="5"/>
  <c r="C38" i="5"/>
  <c r="C36" i="4"/>
  <c r="C36" i="3"/>
  <c r="F38" i="5"/>
  <c r="D36" i="3"/>
  <c r="H36" i="4"/>
  <c r="D36" i="4"/>
  <c r="F36" i="4"/>
  <c r="G38" i="5"/>
  <c r="E36" i="4"/>
  <c r="D38" i="5"/>
  <c r="E38" i="5"/>
  <c r="H38" i="5"/>
  <c r="G36" i="4"/>
  <c r="J37" i="5" l="1"/>
  <c r="L37" i="5"/>
  <c r="M37" i="5"/>
  <c r="K37" i="5"/>
  <c r="I37" i="5"/>
  <c r="C39" i="5"/>
  <c r="C37" i="4"/>
  <c r="C37" i="3"/>
  <c r="E39" i="5"/>
  <c r="G39" i="5"/>
  <c r="E37" i="4"/>
  <c r="H37" i="4"/>
  <c r="D37" i="4"/>
  <c r="G37" i="4"/>
  <c r="D37" i="3"/>
  <c r="F39" i="5"/>
  <c r="D39" i="5"/>
  <c r="H39" i="5"/>
  <c r="F37" i="4"/>
  <c r="J38" i="5" l="1"/>
  <c r="L38" i="5"/>
  <c r="M38" i="5"/>
  <c r="K38" i="5"/>
  <c r="I38" i="5"/>
  <c r="C40" i="5"/>
  <c r="C38" i="4"/>
  <c r="C38" i="3"/>
  <c r="F40" i="5"/>
  <c r="D40" i="5"/>
  <c r="H40" i="5"/>
  <c r="H38" i="4"/>
  <c r="D38" i="4"/>
  <c r="D38" i="3"/>
  <c r="E40" i="5"/>
  <c r="E38" i="4"/>
  <c r="G38" i="4"/>
  <c r="F38" i="4"/>
  <c r="G40" i="5"/>
  <c r="J39" i="5" l="1"/>
  <c r="L39" i="5"/>
  <c r="M39" i="5"/>
  <c r="K39" i="5"/>
  <c r="I39" i="5"/>
  <c r="C41" i="5"/>
  <c r="C39" i="4"/>
  <c r="C39" i="3"/>
  <c r="F41" i="5"/>
  <c r="G41" i="5"/>
  <c r="H39" i="4"/>
  <c r="D39" i="4"/>
  <c r="H41" i="5"/>
  <c r="D39" i="3"/>
  <c r="E39" i="4"/>
  <c r="F39" i="4"/>
  <c r="E41" i="5"/>
  <c r="D41" i="5"/>
  <c r="G39" i="4"/>
  <c r="J40" i="5" l="1"/>
  <c r="L40" i="5"/>
  <c r="M40" i="5"/>
  <c r="K40" i="5"/>
  <c r="I40" i="5"/>
  <c r="C42" i="5"/>
  <c r="C40" i="4"/>
  <c r="C40" i="3"/>
  <c r="E42" i="5"/>
  <c r="G42" i="5"/>
  <c r="F40" i="4"/>
  <c r="G40" i="4"/>
  <c r="D42" i="5"/>
  <c r="H40" i="4"/>
  <c r="D40" i="4"/>
  <c r="H42" i="5"/>
  <c r="E40" i="4"/>
  <c r="F42" i="5"/>
  <c r="D40" i="3"/>
  <c r="J41" i="5" l="1"/>
  <c r="L41" i="5"/>
  <c r="M41" i="5"/>
  <c r="K41" i="5"/>
  <c r="I41" i="5"/>
  <c r="C43" i="5"/>
  <c r="C41" i="4"/>
  <c r="C41" i="3"/>
  <c r="H43" i="5"/>
  <c r="F43" i="5"/>
  <c r="D41" i="4"/>
  <c r="F41" i="4"/>
  <c r="G43" i="5"/>
  <c r="E43" i="5"/>
  <c r="E41" i="4"/>
  <c r="H41" i="4"/>
  <c r="G41" i="4"/>
  <c r="D41" i="3"/>
  <c r="D43" i="5"/>
  <c r="J42" i="5" l="1"/>
  <c r="L42" i="5"/>
  <c r="M42" i="5"/>
  <c r="K42" i="5"/>
  <c r="I42" i="5"/>
  <c r="C44" i="5"/>
  <c r="C42" i="4"/>
  <c r="C42" i="3"/>
  <c r="E44" i="5"/>
  <c r="F42" i="4"/>
  <c r="H42" i="4"/>
  <c r="G42" i="4"/>
  <c r="D42" i="4"/>
  <c r="H44" i="5"/>
  <c r="E42" i="4"/>
  <c r="D44" i="5"/>
  <c r="F44" i="5"/>
  <c r="D42" i="3"/>
  <c r="G44" i="5"/>
  <c r="J43" i="5" l="1"/>
  <c r="L43" i="5"/>
  <c r="M43" i="5"/>
  <c r="K43" i="5"/>
  <c r="I43" i="5"/>
  <c r="C45" i="5"/>
  <c r="C43" i="4"/>
  <c r="C43" i="3"/>
  <c r="H45" i="5"/>
  <c r="G43" i="4"/>
  <c r="E43" i="4"/>
  <c r="F45" i="5"/>
  <c r="D45" i="5"/>
  <c r="H43" i="4"/>
  <c r="G45" i="5"/>
  <c r="F43" i="4"/>
  <c r="E45" i="5"/>
  <c r="D43" i="3"/>
  <c r="D43" i="4"/>
  <c r="J44" i="5" l="1"/>
  <c r="L44" i="5"/>
  <c r="M44" i="5"/>
  <c r="K44" i="5"/>
  <c r="I44" i="5"/>
  <c r="C46" i="5"/>
  <c r="C44" i="4"/>
  <c r="C44" i="3"/>
  <c r="F46" i="5"/>
  <c r="F44" i="4"/>
  <c r="G44" i="4"/>
  <c r="H46" i="5"/>
  <c r="E44" i="4"/>
  <c r="D46" i="5"/>
  <c r="D44" i="4"/>
  <c r="H44" i="4"/>
  <c r="E46" i="5"/>
  <c r="D44" i="3"/>
  <c r="G46" i="5"/>
  <c r="J45" i="5" l="1"/>
  <c r="L45" i="5"/>
  <c r="M45" i="5"/>
  <c r="K45" i="5"/>
  <c r="I45" i="5"/>
  <c r="C47" i="5"/>
  <c r="C45" i="4"/>
  <c r="C45" i="3"/>
  <c r="E47" i="5"/>
  <c r="H47" i="5"/>
  <c r="E45" i="4"/>
  <c r="F47" i="5"/>
  <c r="F45" i="4"/>
  <c r="D45" i="4"/>
  <c r="H45" i="4"/>
  <c r="D47" i="5"/>
  <c r="G47" i="5"/>
  <c r="D45" i="3"/>
  <c r="G45" i="4"/>
  <c r="J46" i="5" l="1"/>
  <c r="L46" i="5"/>
  <c r="M46" i="5"/>
  <c r="K46" i="5"/>
  <c r="I46" i="5"/>
  <c r="C48" i="5"/>
  <c r="C46" i="4"/>
  <c r="C46" i="3"/>
  <c r="E48" i="5"/>
  <c r="H48" i="5"/>
  <c r="F46" i="4"/>
  <c r="D48" i="5"/>
  <c r="D46" i="3"/>
  <c r="E46" i="4"/>
  <c r="H46" i="4"/>
  <c r="F48" i="5"/>
  <c r="D46" i="4"/>
  <c r="G48" i="5"/>
  <c r="G46" i="4"/>
  <c r="J47" i="5" l="1"/>
  <c r="L47" i="5"/>
  <c r="M47" i="5"/>
  <c r="K47" i="5"/>
  <c r="I47" i="5"/>
  <c r="C49" i="5"/>
  <c r="C47" i="4"/>
  <c r="C47" i="3"/>
  <c r="D49" i="5"/>
  <c r="H49" i="5"/>
  <c r="G47" i="4"/>
  <c r="F47" i="4"/>
  <c r="E47" i="4"/>
  <c r="G49" i="5"/>
  <c r="D47" i="4"/>
  <c r="D47" i="3"/>
  <c r="H47" i="4"/>
  <c r="F49" i="5"/>
  <c r="E49" i="5"/>
  <c r="J48" i="5" l="1"/>
  <c r="L48" i="5"/>
  <c r="M48" i="5"/>
  <c r="K48" i="5"/>
  <c r="I48" i="5"/>
  <c r="C50" i="5"/>
  <c r="C48" i="4"/>
  <c r="C48" i="3"/>
  <c r="D50" i="5"/>
  <c r="F48" i="4"/>
  <c r="H48" i="4"/>
  <c r="D48" i="4"/>
  <c r="F50" i="5"/>
  <c r="E50" i="5"/>
  <c r="G48" i="4"/>
  <c r="D48" i="3"/>
  <c r="H50" i="5"/>
  <c r="G50" i="5"/>
  <c r="E48" i="4"/>
  <c r="J49" i="5" l="1"/>
  <c r="L49" i="5"/>
  <c r="M49" i="5"/>
  <c r="K49" i="5"/>
  <c r="I49" i="5"/>
  <c r="C51" i="5"/>
  <c r="C49" i="4"/>
  <c r="C49" i="3"/>
  <c r="D51" i="5"/>
  <c r="F51" i="5"/>
  <c r="G49" i="4"/>
  <c r="H49" i="4"/>
  <c r="F49" i="4"/>
  <c r="D49" i="4"/>
  <c r="E49" i="4"/>
  <c r="D49" i="3"/>
  <c r="H51" i="5"/>
  <c r="E51" i="5"/>
  <c r="G51" i="5"/>
  <c r="J50" i="5" l="1"/>
  <c r="L50" i="5"/>
  <c r="M50" i="5"/>
  <c r="K50" i="5"/>
  <c r="I50" i="5"/>
  <c r="C52" i="5"/>
  <c r="C50" i="4"/>
  <c r="C50" i="3"/>
  <c r="D52" i="5"/>
  <c r="H50" i="4"/>
  <c r="E52" i="5"/>
  <c r="G52" i="5"/>
  <c r="D50" i="4"/>
  <c r="F50" i="4"/>
  <c r="G50" i="4"/>
  <c r="H52" i="5"/>
  <c r="E50" i="4"/>
  <c r="D50" i="3"/>
  <c r="F52" i="5"/>
  <c r="J51" i="5" l="1"/>
  <c r="L51" i="5"/>
  <c r="M51" i="5"/>
  <c r="K51" i="5"/>
  <c r="I51" i="5"/>
  <c r="C53" i="5"/>
  <c r="C51" i="4"/>
  <c r="C51" i="3"/>
  <c r="F53" i="5"/>
  <c r="D53" i="5"/>
  <c r="F51" i="4"/>
  <c r="D51" i="3"/>
  <c r="D51" i="4"/>
  <c r="G51" i="4"/>
  <c r="E53" i="5"/>
  <c r="G53" i="5"/>
  <c r="E51" i="4"/>
  <c r="H53" i="5"/>
  <c r="H51" i="4"/>
  <c r="J52" i="5" l="1"/>
  <c r="L52" i="5"/>
  <c r="M52" i="5"/>
  <c r="K52" i="5"/>
  <c r="I52" i="5"/>
  <c r="C54" i="5"/>
  <c r="C52" i="4"/>
  <c r="C52" i="3"/>
  <c r="H54" i="5"/>
  <c r="D54" i="5"/>
  <c r="H52" i="4"/>
  <c r="E54" i="5"/>
  <c r="E52" i="4"/>
  <c r="G52" i="4"/>
  <c r="F52" i="4"/>
  <c r="G54" i="5"/>
  <c r="F54" i="5"/>
  <c r="D52" i="4"/>
  <c r="D52" i="3"/>
  <c r="J53" i="5" l="1"/>
  <c r="L53" i="5"/>
  <c r="M53" i="5"/>
  <c r="K53" i="5"/>
  <c r="I53" i="5"/>
  <c r="C55" i="5"/>
  <c r="C53" i="4"/>
  <c r="C53" i="3"/>
  <c r="E55" i="5"/>
  <c r="F55" i="5"/>
  <c r="H53" i="4"/>
  <c r="G53" i="4"/>
  <c r="D53" i="4"/>
  <c r="F53" i="4"/>
  <c r="E53" i="4"/>
  <c r="G55" i="5"/>
  <c r="H55" i="5"/>
  <c r="D55" i="5"/>
  <c r="D53" i="3"/>
  <c r="J54" i="5" l="1"/>
  <c r="L54" i="5"/>
  <c r="M54" i="5"/>
  <c r="K54" i="5"/>
  <c r="I54" i="5"/>
  <c r="C56" i="5"/>
  <c r="C54" i="4"/>
  <c r="C54" i="3"/>
  <c r="H56" i="5"/>
  <c r="E56" i="5"/>
  <c r="G54" i="4"/>
  <c r="F54" i="4"/>
  <c r="H54" i="4"/>
  <c r="G56" i="5"/>
  <c r="D54" i="4"/>
  <c r="D54" i="3"/>
  <c r="F56" i="5"/>
  <c r="D56" i="5"/>
  <c r="E54" i="4"/>
  <c r="J55" i="5" l="1"/>
  <c r="L55" i="5"/>
  <c r="M55" i="5"/>
  <c r="K55" i="5"/>
  <c r="I55" i="5"/>
  <c r="C57" i="5"/>
  <c r="C55" i="4"/>
  <c r="C55" i="3"/>
  <c r="H57" i="5"/>
  <c r="H55" i="4"/>
  <c r="G55" i="4"/>
  <c r="F55" i="4"/>
  <c r="F57" i="5"/>
  <c r="D55" i="4"/>
  <c r="G57" i="5"/>
  <c r="E55" i="4"/>
  <c r="D57" i="5"/>
  <c r="D55" i="3"/>
  <c r="E57" i="5"/>
  <c r="J56" i="5" l="1"/>
  <c r="L56" i="5"/>
  <c r="M56" i="5"/>
  <c r="K56" i="5"/>
  <c r="I56" i="5"/>
  <c r="C58" i="5"/>
  <c r="C56" i="4"/>
  <c r="C56" i="3"/>
  <c r="D58" i="5"/>
  <c r="F58" i="5"/>
  <c r="H56" i="4"/>
  <c r="G58" i="5"/>
  <c r="D56" i="4"/>
  <c r="E56" i="4"/>
  <c r="G56" i="4"/>
  <c r="D56" i="3"/>
  <c r="E58" i="5"/>
  <c r="H58" i="5"/>
  <c r="F56" i="4"/>
  <c r="J57" i="5" l="1"/>
  <c r="L57" i="5"/>
  <c r="M57" i="5"/>
  <c r="K57" i="5"/>
  <c r="I57" i="5"/>
  <c r="C59" i="5"/>
  <c r="C57" i="4"/>
  <c r="C57" i="3"/>
  <c r="G59" i="5"/>
  <c r="H59" i="5"/>
  <c r="F59" i="5"/>
  <c r="F57" i="4"/>
  <c r="E57" i="4"/>
  <c r="H57" i="4"/>
  <c r="D57" i="3"/>
  <c r="E59" i="5"/>
  <c r="G57" i="4"/>
  <c r="D59" i="5"/>
  <c r="D57" i="4"/>
  <c r="J58" i="5" l="1"/>
  <c r="L58" i="5"/>
  <c r="M58" i="5"/>
  <c r="K58" i="5"/>
  <c r="I58" i="5"/>
  <c r="C60" i="5"/>
  <c r="C58" i="4"/>
  <c r="C58" i="3"/>
  <c r="F60" i="5"/>
  <c r="D58" i="3"/>
  <c r="D58" i="4"/>
  <c r="G60" i="5"/>
  <c r="G58" i="4"/>
  <c r="D60" i="5"/>
  <c r="F58" i="4"/>
  <c r="H58" i="4"/>
  <c r="H60" i="5"/>
  <c r="E60" i="5"/>
  <c r="E58" i="4"/>
  <c r="J59" i="5" l="1"/>
  <c r="L59" i="5"/>
  <c r="M59" i="5"/>
  <c r="K59" i="5"/>
  <c r="I59" i="5"/>
  <c r="C61" i="5"/>
  <c r="C59" i="4"/>
  <c r="C59" i="3"/>
  <c r="H61" i="5"/>
  <c r="E61" i="5"/>
  <c r="D59" i="4"/>
  <c r="H59" i="4"/>
  <c r="G61" i="5"/>
  <c r="E59" i="4"/>
  <c r="G59" i="4"/>
  <c r="D59" i="3"/>
  <c r="D61" i="5"/>
  <c r="F61" i="5"/>
  <c r="F59" i="4"/>
  <c r="J60" i="5" l="1"/>
  <c r="L60" i="5"/>
  <c r="M60" i="5"/>
  <c r="K60" i="5"/>
  <c r="I60" i="5"/>
  <c r="C62" i="5"/>
  <c r="C60" i="4"/>
  <c r="C60" i="3"/>
  <c r="D62" i="5"/>
  <c r="F62" i="5"/>
  <c r="G60" i="4"/>
  <c r="E60" i="4"/>
  <c r="H60" i="4"/>
  <c r="H62" i="5"/>
  <c r="F60" i="4"/>
  <c r="G62" i="5"/>
  <c r="E62" i="5"/>
  <c r="D60" i="4"/>
  <c r="D60" i="3"/>
  <c r="J61" i="5" l="1"/>
  <c r="L61" i="5"/>
  <c r="M61" i="5"/>
  <c r="K61" i="5"/>
  <c r="I61" i="5"/>
  <c r="C63" i="5"/>
  <c r="C61" i="4"/>
  <c r="C61" i="3"/>
  <c r="E63" i="5"/>
  <c r="F61" i="4"/>
  <c r="H61" i="4"/>
  <c r="H63" i="5"/>
  <c r="E61" i="4"/>
  <c r="F63" i="5"/>
  <c r="G61" i="4"/>
  <c r="G63" i="5"/>
  <c r="D63" i="5"/>
  <c r="D61" i="3"/>
  <c r="D61" i="4"/>
  <c r="J62" i="5" l="1"/>
  <c r="L62" i="5"/>
  <c r="M62" i="5"/>
  <c r="K62" i="5"/>
  <c r="I62" i="5"/>
  <c r="C64" i="5"/>
  <c r="C62" i="4"/>
  <c r="C62" i="3"/>
  <c r="H64" i="5"/>
  <c r="E64" i="5"/>
  <c r="D64" i="5"/>
  <c r="D62" i="4"/>
  <c r="D62" i="3"/>
  <c r="E62" i="4"/>
  <c r="F62" i="4"/>
  <c r="G62" i="4"/>
  <c r="H62" i="4"/>
  <c r="F64" i="5"/>
  <c r="G64" i="5"/>
  <c r="J63" i="5" l="1"/>
  <c r="L63" i="5"/>
  <c r="M63" i="5"/>
  <c r="K63" i="5"/>
  <c r="I63" i="5"/>
  <c r="C65" i="5"/>
  <c r="C63" i="4"/>
  <c r="C63" i="3"/>
  <c r="E65" i="5"/>
  <c r="H63" i="4"/>
  <c r="H65" i="5"/>
  <c r="D63" i="4"/>
  <c r="F65" i="5"/>
  <c r="E63" i="4"/>
  <c r="G63" i="4"/>
  <c r="D65" i="5"/>
  <c r="F63" i="4"/>
  <c r="D63" i="3"/>
  <c r="G65" i="5"/>
  <c r="J64" i="5" l="1"/>
  <c r="L64" i="5"/>
  <c r="M64" i="5"/>
  <c r="K64" i="5"/>
  <c r="I64" i="5"/>
  <c r="C66" i="5"/>
  <c r="C64" i="4"/>
  <c r="C64" i="3"/>
  <c r="D66" i="5"/>
  <c r="H66" i="5"/>
  <c r="E66" i="5"/>
  <c r="E64" i="4"/>
  <c r="H64" i="4"/>
  <c r="G64" i="4"/>
  <c r="F66" i="5"/>
  <c r="D64" i="4"/>
  <c r="D64" i="3"/>
  <c r="F64" i="4"/>
  <c r="G66" i="5"/>
  <c r="J65" i="5" l="1"/>
  <c r="L65" i="5"/>
  <c r="M65" i="5"/>
  <c r="K65" i="5"/>
  <c r="I65" i="5"/>
  <c r="C67" i="5"/>
  <c r="C65" i="4"/>
  <c r="C65" i="3"/>
  <c r="H67" i="5"/>
  <c r="H65" i="4"/>
  <c r="G65" i="4"/>
  <c r="F65" i="4"/>
  <c r="F67" i="5"/>
  <c r="E67" i="5"/>
  <c r="E65" i="4"/>
  <c r="D65" i="4"/>
  <c r="D65" i="3"/>
  <c r="D67" i="5"/>
  <c r="G67" i="5"/>
  <c r="J66" i="5" l="1"/>
  <c r="L66" i="5"/>
  <c r="M66" i="5"/>
  <c r="K66" i="5"/>
  <c r="I66" i="5"/>
  <c r="C68" i="5"/>
  <c r="C66" i="4"/>
  <c r="C66" i="3"/>
  <c r="G68" i="5"/>
  <c r="F68" i="5"/>
  <c r="F66" i="4"/>
  <c r="D68" i="5"/>
  <c r="E66" i="4"/>
  <c r="D66" i="4"/>
  <c r="H66" i="4"/>
  <c r="D66" i="3"/>
  <c r="G66" i="4"/>
  <c r="E68" i="5"/>
  <c r="H68" i="5"/>
  <c r="J67" i="5" l="1"/>
  <c r="L67" i="5"/>
  <c r="M67" i="5"/>
  <c r="K67" i="5"/>
  <c r="I67" i="5"/>
  <c r="C69" i="5"/>
  <c r="C67" i="4"/>
  <c r="C67" i="3"/>
  <c r="H69" i="5"/>
  <c r="F67" i="4"/>
  <c r="G69" i="5"/>
  <c r="H67" i="4"/>
  <c r="E67" i="4"/>
  <c r="D67" i="3"/>
  <c r="D67" i="4"/>
  <c r="E69" i="5"/>
  <c r="F69" i="5"/>
  <c r="D69" i="5"/>
  <c r="G67" i="4"/>
  <c r="J68" i="5" l="1"/>
  <c r="L68" i="5"/>
  <c r="M68" i="5"/>
  <c r="K68" i="5"/>
  <c r="I68" i="5"/>
  <c r="C70" i="5"/>
  <c r="C68" i="4"/>
  <c r="C68" i="3"/>
  <c r="D70" i="5"/>
  <c r="F70" i="5"/>
  <c r="G70" i="5"/>
  <c r="D68" i="4"/>
  <c r="D68" i="3"/>
  <c r="H70" i="5"/>
  <c r="H68" i="4"/>
  <c r="E68" i="4"/>
  <c r="G68" i="4"/>
  <c r="F68" i="4"/>
  <c r="E70" i="5"/>
  <c r="J69" i="5" l="1"/>
  <c r="L69" i="5"/>
  <c r="M69" i="5"/>
  <c r="K69" i="5"/>
  <c r="I69" i="5"/>
  <c r="C71" i="5"/>
  <c r="C72" i="5" s="1"/>
  <c r="C69" i="4"/>
  <c r="C69" i="3"/>
  <c r="F72" i="5"/>
  <c r="G72" i="5"/>
  <c r="D72" i="5"/>
  <c r="E72" i="5"/>
  <c r="H72" i="5"/>
  <c r="D71" i="5"/>
  <c r="D69" i="3"/>
  <c r="H69" i="4"/>
  <c r="E69" i="4"/>
  <c r="D69" i="4"/>
  <c r="G71" i="5"/>
  <c r="F71" i="5"/>
  <c r="F69" i="4"/>
  <c r="G69" i="4"/>
  <c r="E71" i="5"/>
  <c r="H71" i="5"/>
  <c r="C73" i="5" l="1"/>
  <c r="J70" i="5"/>
  <c r="J71" i="5"/>
  <c r="L70" i="5"/>
  <c r="L71" i="5"/>
  <c r="M70" i="5"/>
  <c r="M71" i="5"/>
  <c r="K70" i="5"/>
  <c r="K71" i="5"/>
  <c r="I70" i="5"/>
  <c r="I71" i="5"/>
  <c r="C70" i="4"/>
  <c r="C70" i="3"/>
  <c r="D73" i="5"/>
  <c r="G73" i="5"/>
  <c r="H73" i="5"/>
  <c r="E73" i="5"/>
  <c r="F73" i="5"/>
  <c r="E70" i="4"/>
  <c r="H70" i="4"/>
  <c r="F70" i="4"/>
  <c r="D70" i="3"/>
  <c r="G70" i="4"/>
  <c r="D70" i="4"/>
  <c r="K72" i="5" l="1"/>
  <c r="J72" i="5"/>
  <c r="M72" i="5"/>
  <c r="L72" i="5"/>
  <c r="I72" i="5"/>
  <c r="C74" i="5"/>
  <c r="C71" i="4"/>
  <c r="C71" i="3"/>
  <c r="G74" i="5"/>
  <c r="E74" i="5"/>
  <c r="H74" i="5"/>
  <c r="F74" i="5"/>
  <c r="D74" i="5"/>
  <c r="H71" i="4"/>
  <c r="G71" i="4"/>
  <c r="E71" i="4"/>
  <c r="F71" i="4"/>
  <c r="D71" i="3"/>
  <c r="D71" i="4"/>
  <c r="I73" i="5" l="1"/>
  <c r="K73" i="5"/>
  <c r="M73" i="5"/>
  <c r="J73" i="5"/>
  <c r="L73" i="5"/>
  <c r="C75" i="5"/>
  <c r="C72" i="4"/>
  <c r="C72" i="3"/>
  <c r="F75" i="5"/>
  <c r="G75" i="5"/>
  <c r="D75" i="5"/>
  <c r="E75" i="5"/>
  <c r="H75" i="5"/>
  <c r="E72" i="4"/>
  <c r="F72" i="4"/>
  <c r="G72" i="4"/>
  <c r="D72" i="4"/>
  <c r="H72" i="4"/>
  <c r="D72" i="3"/>
  <c r="M74" i="5" l="1"/>
  <c r="J74" i="5"/>
  <c r="I74" i="5"/>
  <c r="L74" i="5"/>
  <c r="K74" i="5"/>
  <c r="C76" i="5"/>
  <c r="C77" i="5" s="1"/>
  <c r="C73" i="4"/>
  <c r="C73" i="3"/>
  <c r="D77" i="5"/>
  <c r="F77" i="5"/>
  <c r="H77" i="5"/>
  <c r="E77" i="5"/>
  <c r="G77" i="5"/>
  <c r="G76" i="5"/>
  <c r="D76" i="5"/>
  <c r="F76" i="5"/>
  <c r="H76" i="5"/>
  <c r="E76" i="5"/>
  <c r="E73" i="4"/>
  <c r="F73" i="4"/>
  <c r="G73" i="4"/>
  <c r="D73" i="4"/>
  <c r="H73" i="4"/>
  <c r="D73" i="3"/>
  <c r="C78" i="5" l="1"/>
  <c r="J75" i="5"/>
  <c r="M75" i="5"/>
  <c r="K75" i="5"/>
  <c r="I75" i="5"/>
  <c r="L75" i="5"/>
  <c r="M76" i="5"/>
  <c r="K76" i="5"/>
  <c r="J76" i="5"/>
  <c r="I76" i="5"/>
  <c r="L76" i="5"/>
  <c r="C74" i="4"/>
  <c r="C74" i="3"/>
  <c r="D78" i="5"/>
  <c r="G78" i="5"/>
  <c r="E78" i="5"/>
  <c r="F78" i="5"/>
  <c r="H78" i="5"/>
  <c r="E74" i="4"/>
  <c r="F74" i="4"/>
  <c r="G74" i="4"/>
  <c r="D74" i="4"/>
  <c r="H74" i="4"/>
  <c r="D74" i="3"/>
  <c r="M77" i="5" l="1"/>
  <c r="K77" i="5"/>
  <c r="J77" i="5"/>
  <c r="L77" i="5"/>
  <c r="I77" i="5"/>
  <c r="C79" i="5"/>
  <c r="C75" i="4"/>
  <c r="C75" i="3"/>
  <c r="G79" i="5"/>
  <c r="D79" i="5"/>
  <c r="E79" i="5"/>
  <c r="H79" i="5"/>
  <c r="F79" i="5"/>
  <c r="F75" i="4"/>
  <c r="G75" i="4"/>
  <c r="H75" i="4"/>
  <c r="D75" i="4"/>
  <c r="E75" i="4"/>
  <c r="D75" i="3"/>
  <c r="K78" i="5" l="1"/>
  <c r="M78" i="5"/>
  <c r="J78" i="5"/>
  <c r="I78" i="5"/>
  <c r="L78" i="5"/>
  <c r="C80" i="5"/>
  <c r="C76" i="4"/>
  <c r="C76" i="3"/>
  <c r="F80" i="5"/>
  <c r="G80" i="5"/>
  <c r="H80" i="5"/>
  <c r="D80" i="5"/>
  <c r="E80" i="5"/>
  <c r="D76" i="4"/>
  <c r="G76" i="4"/>
  <c r="H76" i="4"/>
  <c r="E76" i="4"/>
  <c r="F76" i="4"/>
  <c r="D76" i="3"/>
  <c r="J79" i="5" l="1"/>
  <c r="I79" i="5"/>
  <c r="L79" i="5"/>
  <c r="K79" i="5"/>
  <c r="M79" i="5"/>
  <c r="C81" i="5"/>
  <c r="C77" i="4"/>
  <c r="C77" i="3"/>
  <c r="H81" i="5"/>
  <c r="G81" i="5"/>
  <c r="F81" i="5"/>
  <c r="E81" i="5"/>
  <c r="D81" i="5"/>
  <c r="G77" i="4"/>
  <c r="H77" i="4"/>
  <c r="F77" i="4"/>
  <c r="E77" i="4"/>
  <c r="D77" i="4"/>
  <c r="D77" i="3"/>
  <c r="I80" i="5" l="1"/>
  <c r="J80" i="5"/>
  <c r="K80" i="5"/>
  <c r="L80" i="5"/>
  <c r="M80" i="5"/>
  <c r="K81" i="5"/>
  <c r="I81" i="5"/>
  <c r="L81" i="5"/>
  <c r="M81" i="5"/>
  <c r="J81" i="5"/>
  <c r="C78" i="4"/>
  <c r="C78" i="3"/>
  <c r="D78" i="4"/>
  <c r="H78" i="4"/>
  <c r="E78" i="4"/>
  <c r="F78" i="4"/>
  <c r="G78" i="4"/>
  <c r="D78" i="3"/>
  <c r="C79" i="4" l="1"/>
  <c r="C79" i="3"/>
  <c r="F79" i="4"/>
  <c r="G79" i="4"/>
  <c r="D79" i="4"/>
  <c r="H79" i="4"/>
  <c r="E79" i="4"/>
  <c r="D79" i="3"/>
  <c r="C80" i="4" l="1"/>
  <c r="C80" i="3"/>
  <c r="D80" i="4"/>
  <c r="G80" i="4"/>
  <c r="H80" i="4"/>
  <c r="E80" i="4"/>
  <c r="F80" i="4"/>
  <c r="D80" i="3"/>
  <c r="C81" i="4" l="1"/>
  <c r="C82" i="4" s="1"/>
  <c r="C81" i="3"/>
  <c r="F82" i="4"/>
  <c r="G82" i="4"/>
  <c r="H82" i="4"/>
  <c r="E82" i="4"/>
  <c r="D82" i="4"/>
  <c r="G81" i="4"/>
  <c r="D81" i="4"/>
  <c r="H81" i="4"/>
  <c r="F81" i="4"/>
  <c r="E81" i="4"/>
  <c r="D81" i="3"/>
  <c r="C83" i="4" l="1"/>
  <c r="C82" i="3"/>
  <c r="F83" i="4"/>
  <c r="G83" i="4"/>
  <c r="H83" i="4"/>
  <c r="D83" i="4"/>
  <c r="E83" i="4"/>
  <c r="C84" i="4" l="1"/>
  <c r="C83" i="3"/>
  <c r="F84" i="4"/>
  <c r="E84" i="4"/>
  <c r="G84" i="4"/>
  <c r="H84" i="4"/>
  <c r="D84" i="4"/>
  <c r="C85" i="4" l="1"/>
  <c r="C84" i="3"/>
  <c r="G85" i="4"/>
  <c r="H85" i="4"/>
  <c r="E85" i="4"/>
  <c r="D85" i="4"/>
  <c r="F85" i="4"/>
  <c r="C86" i="4" l="1"/>
  <c r="C85" i="3"/>
  <c r="E86" i="4"/>
  <c r="D86" i="4"/>
  <c r="H86" i="4"/>
  <c r="F86" i="4"/>
  <c r="G86" i="4"/>
  <c r="C86" i="3" l="1"/>
  <c r="C87" i="3" l="1"/>
  <c r="C88" i="3" l="1"/>
  <c r="C89" i="3" l="1"/>
  <c r="C90" i="3" l="1"/>
  <c r="C91" i="3" l="1"/>
  <c r="C92" i="3" l="1"/>
  <c r="C93" i="3" l="1"/>
  <c r="C94" i="3" l="1"/>
  <c r="C95" i="3" l="1"/>
  <c r="C96" i="3" l="1"/>
  <c r="C97" i="3" l="1"/>
  <c r="C98" i="3" l="1"/>
  <c r="C99" i="3" l="1"/>
  <c r="C100" i="3" l="1"/>
  <c r="C101" i="3" l="1"/>
  <c r="C102" i="3" l="1"/>
  <c r="C103" i="3" l="1"/>
  <c r="C104" i="3" l="1"/>
  <c r="C105" i="3" l="1"/>
  <c r="C106" i="3" l="1"/>
  <c r="C107" i="3" l="1"/>
  <c r="C108" i="3" l="1"/>
  <c r="C109" i="3" l="1"/>
  <c r="C110" i="3" l="1"/>
  <c r="C111" i="3" l="1"/>
  <c r="C112" i="3" l="1"/>
  <c r="C113" i="3" l="1"/>
  <c r="C114" i="3" l="1"/>
  <c r="C115" i="3" l="1"/>
  <c r="C116" i="3" l="1"/>
  <c r="C117" i="3" l="1"/>
  <c r="C118" i="3" l="1"/>
  <c r="C119" i="3" l="1"/>
  <c r="C120" i="3" l="1"/>
  <c r="C121" i="3" l="1"/>
</calcChain>
</file>

<file path=xl/sharedStrings.xml><?xml version="1.0" encoding="utf-8"?>
<sst xmlns="http://schemas.openxmlformats.org/spreadsheetml/2006/main" count="74" uniqueCount="33">
  <si>
    <t>i\n</t>
  </si>
  <si>
    <t>rD</t>
  </si>
  <si>
    <t>tD</t>
  </si>
  <si>
    <t>pD</t>
  </si>
  <si>
    <t>Input Parameters</t>
  </si>
  <si>
    <t>Transition Calculations</t>
  </si>
  <si>
    <t>N(even)</t>
  </si>
  <si>
    <t>a</t>
  </si>
  <si>
    <t>b</t>
  </si>
  <si>
    <t>Plot parameters</t>
  </si>
  <si>
    <t>No. of Points</t>
  </si>
  <si>
    <t>point</t>
  </si>
  <si>
    <t>N1(even)</t>
  </si>
  <si>
    <t>N2(even)</t>
  </si>
  <si>
    <t>N3(even)</t>
  </si>
  <si>
    <t>N4(even)</t>
  </si>
  <si>
    <t>N5(even)</t>
  </si>
  <si>
    <t>pD1</t>
  </si>
  <si>
    <t>pD2</t>
  </si>
  <si>
    <t>pD3</t>
  </si>
  <si>
    <t>pD4</t>
  </si>
  <si>
    <t>pD5</t>
  </si>
  <si>
    <t>Plotting Data Calculation</t>
  </si>
  <si>
    <t>CDe2S</t>
  </si>
  <si>
    <t>p'D1</t>
  </si>
  <si>
    <t>p'D2</t>
  </si>
  <si>
    <t>p'D3</t>
  </si>
  <si>
    <t>p'D4</t>
  </si>
  <si>
    <t>p'D5</t>
  </si>
  <si>
    <t>tD pD TypeCurve</t>
  </si>
  <si>
    <t>tD pD p'D Typecurve</t>
  </si>
  <si>
    <t>tD pD solution</t>
  </si>
  <si>
    <t>Stehfest Algorithm: https://github.com/joukarm/TCGenerator                          m@joukar.ir, Winter 2013, Ahwaz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</si>
</sst>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b/>
      <sz val="11"/>
      <color theme="0"/>
      <name val="Cambria"/>
      <family val="1"/>
      <scheme val="major"/>
    </font>
    <font>
      <sz val="18"/>
      <color theme="0"/>
      <name val="Cambria"/>
      <family val="1"/>
      <scheme val="major"/>
    </font>
    <font>
      <sz val="11"/>
      <color rgb="FF0000FF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3" borderId="7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0" fillId="0" borderId="0" xfId="0" applyAlignment="1"/>
    <xf numFmtId="0" fontId="2" fillId="2" borderId="3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2" fillId="2" borderId="8" xfId="0" applyFont="1" applyFill="1" applyBorder="1" applyAlignment="1">
      <alignment horizontal="left" vertical="center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left" vertical="center"/>
    </xf>
    <xf numFmtId="0" fontId="1" fillId="3" borderId="7" xfId="0" applyFont="1" applyFill="1" applyBorder="1" applyAlignment="1" applyProtection="1">
      <alignment horizontal="center" vertical="center"/>
      <protection locked="0"/>
    </xf>
    <xf numFmtId="0" fontId="2" fillId="4" borderId="2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8" xfId="0" applyFont="1" applyFill="1" applyBorder="1" applyAlignment="1">
      <alignment horizontal="right" vertical="center"/>
    </xf>
    <xf numFmtId="11" fontId="1" fillId="3" borderId="5" xfId="0" applyNumberFormat="1" applyFont="1" applyFill="1" applyBorder="1" applyAlignment="1" applyProtection="1">
      <alignment horizontal="left" vertical="center"/>
    </xf>
    <xf numFmtId="11" fontId="1" fillId="3" borderId="7" xfId="0" applyNumberFormat="1" applyFont="1" applyFill="1" applyBorder="1" applyAlignment="1" applyProtection="1">
      <alignment horizontal="left" vertical="center"/>
    </xf>
    <xf numFmtId="11" fontId="1" fillId="3" borderId="10" xfId="0" applyNumberFormat="1" applyFont="1" applyFill="1" applyBorder="1" applyAlignment="1" applyProtection="1">
      <alignment horizontal="left" vertical="center"/>
    </xf>
    <xf numFmtId="0" fontId="2" fillId="4" borderId="23" xfId="0" applyFont="1" applyFill="1" applyBorder="1" applyAlignment="1">
      <alignment horizontal="left"/>
    </xf>
    <xf numFmtId="0" fontId="3" fillId="4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4" xfId="0" applyFont="1" applyFill="1" applyBorder="1" applyAlignment="1" applyProtection="1">
      <alignment horizontal="center" vertical="center"/>
    </xf>
    <xf numFmtId="0" fontId="1" fillId="3" borderId="5" xfId="0" applyFont="1" applyFill="1" applyBorder="1" applyAlignment="1" applyProtection="1">
      <alignment horizontal="center" vertical="center"/>
    </xf>
    <xf numFmtId="0" fontId="1" fillId="3" borderId="20" xfId="0" applyFont="1" applyFill="1" applyBorder="1" applyAlignment="1" applyProtection="1">
      <alignment horizontal="center" vertical="center"/>
    </xf>
    <xf numFmtId="0" fontId="1" fillId="3" borderId="21" xfId="0" applyFont="1" applyFill="1" applyBorder="1" applyAlignment="1" applyProtection="1">
      <alignment horizontal="center" vertical="center"/>
    </xf>
    <xf numFmtId="0" fontId="1" fillId="3" borderId="22" xfId="0" applyFont="1" applyFill="1" applyBorder="1" applyAlignment="1" applyProtection="1">
      <alignment horizontal="center" vertical="center"/>
    </xf>
    <xf numFmtId="0" fontId="1" fillId="3" borderId="17" xfId="0" applyFont="1" applyFill="1" applyBorder="1" applyAlignment="1" applyProtection="1">
      <alignment horizontal="center" vertical="center"/>
    </xf>
    <xf numFmtId="0" fontId="1" fillId="3" borderId="15" xfId="0" applyFont="1" applyFill="1" applyBorder="1" applyAlignment="1" applyProtection="1">
      <alignment horizontal="center" vertical="center"/>
    </xf>
    <xf numFmtId="0" fontId="1" fillId="3" borderId="16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0000FF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630221222347193E-2"/>
          <c:y val="4.1618790179003738E-2"/>
          <c:w val="0.88993175853018369"/>
          <c:h val="0.8809088276483690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circle"/>
            <c:size val="5"/>
            <c:spPr>
              <a:noFill/>
              <a:ln w="12700">
                <a:solidFill>
                  <a:srgbClr val="0070C0"/>
                </a:solidFill>
              </a:ln>
            </c:spPr>
          </c:marker>
          <c:xVal>
            <c:numRef>
              <c:f>'pD-Calculator-Range'!$C$22:$C$121</c:f>
              <c:numCache>
                <c:formatCode>General</c:formatCode>
                <c:ptCount val="100"/>
                <c:pt idx="0">
                  <c:v>0.1</c:v>
                </c:pt>
                <c:pt idx="1">
                  <c:v>0.12648552168552962</c:v>
                </c:pt>
                <c:pt idx="2">
                  <c:v>0.15998587196060585</c:v>
                </c:pt>
                <c:pt idx="3">
                  <c:v>0.20235896477251578</c:v>
                </c:pt>
                <c:pt idx="4">
                  <c:v>0.25595479226995371</c:v>
                </c:pt>
                <c:pt idx="5">
                  <c:v>0.32374575428176461</c:v>
                </c:pt>
                <c:pt idx="6">
                  <c:v>0.40949150623804281</c:v>
                </c:pt>
                <c:pt idx="7">
                  <c:v>0.51794746792312152</c:v>
                </c:pt>
                <c:pt idx="8">
                  <c:v>0.6551285568595514</c:v>
                </c:pt>
                <c:pt idx="9">
                  <c:v>0.82864277285468513</c:v>
                </c:pt>
                <c:pt idx="10">
                  <c:v>1.0481131341546868</c:v>
                </c:pt>
                <c:pt idx="11">
                  <c:v>1.3257113655901105</c:v>
                </c:pt>
                <c:pt idx="12">
                  <c:v>1.6768329368110102</c:v>
                </c:pt>
                <c:pt idx="13">
                  <c:v>2.1209508879201935</c:v>
                </c:pt>
                <c:pt idx="14">
                  <c:v>2.6826957952797295</c:v>
                </c:pt>
                <c:pt idx="15">
                  <c:v>3.3932217718953335</c:v>
                </c:pt>
                <c:pt idx="16">
                  <c:v>4.2919342601287847</c:v>
                </c:pt>
                <c:pt idx="17">
                  <c:v>5.428675439323869</c:v>
                </c:pt>
                <c:pt idx="18">
                  <c:v>6.866488450043013</c:v>
                </c:pt>
                <c:pt idx="19">
                  <c:v>8.6851137375135412</c:v>
                </c:pt>
                <c:pt idx="20">
                  <c:v>10.985411419875602</c:v>
                </c:pt>
                <c:pt idx="21">
                  <c:v>13.894954943731403</c:v>
                </c:pt>
                <c:pt idx="22">
                  <c:v>17.575106248547954</c:v>
                </c:pt>
                <c:pt idx="23">
                  <c:v>22.229964825261995</c:v>
                </c:pt>
                <c:pt idx="24">
                  <c:v>28.117686979742366</c:v>
                </c:pt>
                <c:pt idx="25">
                  <c:v>35.56480306223137</c:v>
                </c:pt>
                <c:pt idx="26">
                  <c:v>44.984326689694562</c:v>
                </c:pt>
                <c:pt idx="27">
                  <c:v>56.898660290183102</c:v>
                </c:pt>
                <c:pt idx="28">
                  <c:v>71.968567300115382</c:v>
                </c:pt>
                <c:pt idx="29">
                  <c:v>91.029817799152426</c:v>
                </c:pt>
                <c:pt idx="30">
                  <c:v>115.13953993264505</c:v>
                </c:pt>
                <c:pt idx="31">
                  <c:v>145.63484775012481</c:v>
                </c:pt>
                <c:pt idx="32">
                  <c:v>184.20699693267215</c:v>
                </c:pt>
                <c:pt idx="33">
                  <c:v>232.99518105153791</c:v>
                </c:pt>
                <c:pt idx="34">
                  <c:v>294.705170255182</c:v>
                </c:pt>
                <c:pt idx="35">
                  <c:v>372.75937203149522</c:v>
                </c:pt>
                <c:pt idx="36">
                  <c:v>471.48663634574092</c:v>
                </c:pt>
                <c:pt idx="37">
                  <c:v>596.36233165946635</c:v>
                </c:pt>
                <c:pt idx="38">
                  <c:v>754.31200633546439</c:v>
                </c:pt>
                <c:pt idx="39">
                  <c:v>954.0954763499974</c:v>
                </c:pt>
                <c:pt idx="40">
                  <c:v>1206.7926406393331</c:v>
                </c:pt>
                <c:pt idx="41">
                  <c:v>1526.4179671752393</c:v>
                </c:pt>
                <c:pt idx="42">
                  <c:v>1930.6977288832577</c:v>
                </c:pt>
                <c:pt idx="43">
                  <c:v>2442.0530945486607</c:v>
                </c:pt>
                <c:pt idx="44">
                  <c:v>3088.8435964774935</c:v>
                </c:pt>
                <c:pt idx="45">
                  <c:v>3906.939937054633</c:v>
                </c:pt>
                <c:pt idx="46">
                  <c:v>4941.7133613238548</c:v>
                </c:pt>
                <c:pt idx="47">
                  <c:v>6250.5519252739996</c:v>
                </c:pt>
                <c:pt idx="48">
                  <c:v>7906.0432109077337</c:v>
                </c:pt>
                <c:pt idx="49">
                  <c:v>10000.000000000044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'pD-Calculator-Range'!$D$22:$D$121</c:f>
              <c:numCache>
                <c:formatCode>General</c:formatCode>
                <c:ptCount val="100"/>
                <c:pt idx="0">
                  <c:v>9.8437774426842484E-2</c:v>
                </c:pt>
                <c:pt idx="1">
                  <c:v>0.12407709916930616</c:v>
                </c:pt>
                <c:pt idx="2">
                  <c:v>0.15627154574126109</c:v>
                </c:pt>
                <c:pt idx="3">
                  <c:v>0.19662947819405233</c:v>
                </c:pt>
                <c:pt idx="4">
                  <c:v>0.2471167654756285</c:v>
                </c:pt>
                <c:pt idx="5">
                  <c:v>0.31011570119649384</c:v>
                </c:pt>
                <c:pt idx="6">
                  <c:v>0.38848175233518556</c:v>
                </c:pt>
                <c:pt idx="7">
                  <c:v>0.48558954976896579</c:v>
                </c:pt>
                <c:pt idx="8">
                  <c:v>0.60535435083234446</c:v>
                </c:pt>
                <c:pt idx="9">
                  <c:v>0.75220817102292803</c:v>
                </c:pt>
                <c:pt idx="10">
                  <c:v>0.93100085800804155</c:v>
                </c:pt>
                <c:pt idx="11">
                  <c:v>1.1467861652737275</c:v>
                </c:pt>
                <c:pt idx="12">
                  <c:v>1.4044434340357093</c:v>
                </c:pt>
                <c:pt idx="13">
                  <c:v>1.7080819522281663</c:v>
                </c:pt>
                <c:pt idx="14">
                  <c:v>2.0601882861195309</c:v>
                </c:pt>
                <c:pt idx="15">
                  <c:v>2.460525849484108</c:v>
                </c:pt>
                <c:pt idx="16">
                  <c:v>2.9049047449799819</c:v>
                </c:pt>
                <c:pt idx="17">
                  <c:v>3.3841189070181277</c:v>
                </c:pt>
                <c:pt idx="18">
                  <c:v>3.8835525360461021</c:v>
                </c:pt>
                <c:pt idx="19">
                  <c:v>4.3840483637857242</c:v>
                </c:pt>
                <c:pt idx="20">
                  <c:v>4.864398905250308</c:v>
                </c:pt>
                <c:pt idx="21">
                  <c:v>5.3051639281991942</c:v>
                </c:pt>
                <c:pt idx="22">
                  <c:v>5.6926683767567203</c:v>
                </c:pt>
                <c:pt idx="23">
                  <c:v>6.0215861363603507</c:v>
                </c:pt>
                <c:pt idx="24">
                  <c:v>6.2949816109159107</c:v>
                </c:pt>
                <c:pt idx="25">
                  <c:v>6.5219192868451996</c:v>
                </c:pt>
                <c:pt idx="26">
                  <c:v>6.7139235135210882</c:v>
                </c:pt>
                <c:pt idx="27">
                  <c:v>6.8818664658060218</c:v>
                </c:pt>
                <c:pt idx="28">
                  <c:v>7.0342294989310563</c:v>
                </c:pt>
                <c:pt idx="29">
                  <c:v>7.176759771150075</c:v>
                </c:pt>
                <c:pt idx="30">
                  <c:v>7.3129734147481757</c:v>
                </c:pt>
                <c:pt idx="31">
                  <c:v>7.4449038424048277</c:v>
                </c:pt>
                <c:pt idx="32">
                  <c:v>7.5737329702634453</c:v>
                </c:pt>
                <c:pt idx="33">
                  <c:v>7.7001980012195617</c:v>
                </c:pt>
                <c:pt idx="34">
                  <c:v>7.8248090744974661</c:v>
                </c:pt>
                <c:pt idx="35">
                  <c:v>7.9479507301997403</c:v>
                </c:pt>
                <c:pt idx="36">
                  <c:v>8.0699259239253838</c:v>
                </c:pt>
                <c:pt idx="37">
                  <c:v>8.1909763922012306</c:v>
                </c:pt>
                <c:pt idx="38">
                  <c:v>8.3112946909833045</c:v>
                </c:pt>
                <c:pt idx="39">
                  <c:v>8.4310334007176646</c:v>
                </c:pt>
                <c:pt idx="40">
                  <c:v>8.550312938834141</c:v>
                </c:pt>
                <c:pt idx="41">
                  <c:v>8.6692281835728231</c:v>
                </c:pt>
                <c:pt idx="42">
                  <c:v>8.7878539222434533</c:v>
                </c:pt>
                <c:pt idx="43">
                  <c:v>8.9062492080191298</c:v>
                </c:pt>
                <c:pt idx="44">
                  <c:v>9.0244607789764739</c:v>
                </c:pt>
                <c:pt idx="45">
                  <c:v>9.1425257161002644</c:v>
                </c:pt>
                <c:pt idx="46">
                  <c:v>9.2604735038492745</c:v>
                </c:pt>
                <c:pt idx="47">
                  <c:v>9.3783276304795926</c:v>
                </c:pt>
                <c:pt idx="48">
                  <c:v>9.4961068356231273</c:v>
                </c:pt>
                <c:pt idx="49">
                  <c:v>9.6138260876919865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506968"/>
        <c:axId val="386516768"/>
      </c:scatterChart>
      <c:valAx>
        <c:axId val="386506968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tD/CD</a:t>
                </a:r>
              </a:p>
            </c:rich>
          </c:tx>
          <c:layout>
            <c:manualLayout>
              <c:xMode val="edge"/>
              <c:yMode val="edge"/>
              <c:x val="0.50271511061117358"/>
              <c:y val="0.9313967953636315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86516768"/>
        <c:crosses val="autoZero"/>
        <c:crossBetween val="midCat"/>
      </c:valAx>
      <c:valAx>
        <c:axId val="386516768"/>
        <c:scaling>
          <c:logBase val="10"/>
          <c:orientation val="minMax"/>
        </c:scaling>
        <c:delete val="0"/>
        <c:axPos val="l"/>
        <c:min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pD</a:t>
                </a:r>
              </a:p>
            </c:rich>
          </c:tx>
          <c:layout>
            <c:manualLayout>
              <c:xMode val="edge"/>
              <c:yMode val="edge"/>
              <c:x val="5.7142857142857143E-3"/>
              <c:y val="0.46550984036411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86506968"/>
        <c:crosses val="autoZero"/>
        <c:crossBetween val="midCat"/>
      </c:valAx>
    </c:plotArea>
    <c:plotVisOnly val="0"/>
    <c:dispBlanksAs val="gap"/>
    <c:showDLblsOverMax val="0"/>
  </c:chart>
  <c:txPr>
    <a:bodyPr/>
    <a:lstStyle/>
    <a:p>
      <a:pPr>
        <a:defRPr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630221222347193E-2"/>
          <c:y val="4.1618790179003738E-2"/>
          <c:w val="0.88993175853018369"/>
          <c:h val="0.82347407875504697"/>
        </c:manualLayout>
      </c:layout>
      <c:scatterChart>
        <c:scatterStyle val="lineMarker"/>
        <c:varyColors val="0"/>
        <c:ser>
          <c:idx val="0"/>
          <c:order val="0"/>
          <c:tx>
            <c:v>PD1</c:v>
          </c:tx>
          <c:spPr>
            <a:ln w="19050">
              <a:solidFill>
                <a:srgbClr val="FF0000"/>
              </a:solidFill>
            </a:ln>
          </c:spPr>
          <c:marker>
            <c:symbol val="circle"/>
            <c:size val="4"/>
            <c:spPr>
              <a:noFill/>
              <a:ln w="12700">
                <a:solidFill>
                  <a:srgbClr val="FF0000"/>
                </a:solidFill>
              </a:ln>
            </c:spPr>
          </c:marker>
          <c:xVal>
            <c:numRef>
              <c:f>'pD-TC'!$C$22:$C$121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'pD-TC'!$D$22:$D$121</c:f>
              <c:numCache>
                <c:formatCode>General</c:formatCode>
                <c:ptCount val="100"/>
                <c:pt idx="0">
                  <c:v>9.9975570718319213E-3</c:v>
                </c:pt>
                <c:pt idx="1">
                  <c:v>1.3252845855320031E-2</c:v>
                </c:pt>
                <c:pt idx="2">
                  <c:v>1.7567651864022402E-2</c:v>
                </c:pt>
                <c:pt idx="3">
                  <c:v>2.3286499783489144E-2</c:v>
                </c:pt>
                <c:pt idx="4">
                  <c:v>3.0865703396145857E-2</c:v>
                </c:pt>
                <c:pt idx="5">
                  <c:v>4.090945872540952E-2</c:v>
                </c:pt>
                <c:pt idx="6">
                  <c:v>5.4217456502974791E-2</c:v>
                </c:pt>
                <c:pt idx="7">
                  <c:v>7.1847590053027044E-2</c:v>
                </c:pt>
                <c:pt idx="8">
                  <c:v>9.5198369196868873E-2</c:v>
                </c:pt>
                <c:pt idx="9">
                  <c:v>0.12611692619442666</c:v>
                </c:pt>
                <c:pt idx="10">
                  <c:v>0.16704002483611444</c:v>
                </c:pt>
                <c:pt idx="11">
                  <c:v>0.22117721954693856</c:v>
                </c:pt>
                <c:pt idx="12">
                  <c:v>0.29274712254200519</c:v>
                </c:pt>
                <c:pt idx="13">
                  <c:v>0.38727930189903093</c:v>
                </c:pt>
                <c:pt idx="14">
                  <c:v>0.51199499631562428</c:v>
                </c:pt>
                <c:pt idx="15">
                  <c:v>0.6762783477728288</c:v>
                </c:pt>
                <c:pt idx="16">
                  <c:v>0.89224400422432382</c:v>
                </c:pt>
                <c:pt idx="17">
                  <c:v>1.1753929368274096</c:v>
                </c:pt>
                <c:pt idx="18">
                  <c:v>1.5453200251215711</c:v>
                </c:pt>
                <c:pt idx="19">
                  <c:v>2.0263850530640934</c:v>
                </c:pt>
                <c:pt idx="20">
                  <c:v>2.6481703477324361</c:v>
                </c:pt>
                <c:pt idx="21">
                  <c:v>3.4454084382527892</c:v>
                </c:pt>
                <c:pt idx="22">
                  <c:v>4.4568614560204258</c:v>
                </c:pt>
                <c:pt idx="23">
                  <c:v>5.7223825197034257</c:v>
                </c:pt>
                <c:pt idx="24">
                  <c:v>7.2771602552301289</c:v>
                </c:pt>
                <c:pt idx="25">
                  <c:v>9.1421376948840187</c:v>
                </c:pt>
                <c:pt idx="26">
                  <c:v>11.31020319515968</c:v>
                </c:pt>
                <c:pt idx="27">
                  <c:v>13.729580641809386</c:v>
                </c:pt>
                <c:pt idx="28">
                  <c:v>16.289463231851453</c:v>
                </c:pt>
                <c:pt idx="29">
                  <c:v>18.81797556927561</c:v>
                </c:pt>
                <c:pt idx="30">
                  <c:v>21.105805635233981</c:v>
                </c:pt>
                <c:pt idx="31">
                  <c:v>22.962480490693306</c:v>
                </c:pt>
                <c:pt idx="32">
                  <c:v>24.288724370430927</c:v>
                </c:pt>
                <c:pt idx="33">
                  <c:v>25.119071696322219</c:v>
                </c:pt>
                <c:pt idx="34">
                  <c:v>25.593523126765319</c:v>
                </c:pt>
                <c:pt idx="35">
                  <c:v>25.874542863226221</c:v>
                </c:pt>
                <c:pt idx="36">
                  <c:v>26.076742548491737</c:v>
                </c:pt>
                <c:pt idx="37">
                  <c:v>26.252986662265791</c:v>
                </c:pt>
                <c:pt idx="38">
                  <c:v>26.418905429031344</c:v>
                </c:pt>
                <c:pt idx="39">
                  <c:v>26.5778311270996</c:v>
                </c:pt>
                <c:pt idx="40">
                  <c:v>26.731426685192584</c:v>
                </c:pt>
                <c:pt idx="41">
                  <c:v>26.881341600062623</c:v>
                </c:pt>
                <c:pt idx="42">
                  <c:v>27.028830976219083</c:v>
                </c:pt>
                <c:pt idx="43">
                  <c:v>27.17466761774806</c:v>
                </c:pt>
                <c:pt idx="44">
                  <c:v>27.31931105804729</c:v>
                </c:pt>
                <c:pt idx="45">
                  <c:v>27.463060893497087</c:v>
                </c:pt>
                <c:pt idx="46">
                  <c:v>27.606133503084489</c:v>
                </c:pt>
                <c:pt idx="47">
                  <c:v>27.748692996962603</c:v>
                </c:pt>
                <c:pt idx="48">
                  <c:v>27.890864695468565</c:v>
                </c:pt>
                <c:pt idx="49">
                  <c:v>28.032743826540283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pD2</c:v>
          </c:tx>
          <c:spPr>
            <a:ln w="19050">
              <a:solidFill>
                <a:srgbClr val="0000FF"/>
              </a:solidFill>
            </a:ln>
          </c:spPr>
          <c:marker>
            <c:symbol val="square"/>
            <c:size val="4"/>
            <c:spPr>
              <a:noFill/>
              <a:ln w="1270">
                <a:solidFill>
                  <a:srgbClr val="0000FF"/>
                </a:solidFill>
              </a:ln>
            </c:spPr>
          </c:marker>
          <c:xVal>
            <c:numRef>
              <c:f>'pD-TC'!$C$22:$C$121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'pD-TC'!$E$22:$E$121</c:f>
              <c:numCache>
                <c:formatCode>General</c:formatCode>
                <c:ptCount val="100"/>
                <c:pt idx="0">
                  <c:v>9.9766566215015451E-3</c:v>
                </c:pt>
                <c:pt idx="1">
                  <c:v>1.3218234792528353E-2</c:v>
                </c:pt>
                <c:pt idx="2">
                  <c:v>1.7510264181185595E-2</c:v>
                </c:pt>
                <c:pt idx="3">
                  <c:v>2.3191228557108038E-2</c:v>
                </c:pt>
                <c:pt idx="4">
                  <c:v>3.0707348487799612E-2</c:v>
                </c:pt>
                <c:pt idx="5">
                  <c:v>4.0645943872026663E-2</c:v>
                </c:pt>
                <c:pt idx="6">
                  <c:v>5.3778474146434718E-2</c:v>
                </c:pt>
                <c:pt idx="7">
                  <c:v>7.1115596305355341E-2</c:v>
                </c:pt>
                <c:pt idx="8">
                  <c:v>9.3976798097831771E-2</c:v>
                </c:pt>
                <c:pt idx="9">
                  <c:v>0.12407709916933289</c:v>
                </c:pt>
                <c:pt idx="10">
                  <c:v>0.16363266352951095</c:v>
                </c:pt>
                <c:pt idx="11">
                  <c:v>0.21548542532257189</c:v>
                </c:pt>
                <c:pt idx="12">
                  <c:v>0.28324319091868427</c:v>
                </c:pt>
                <c:pt idx="13">
                  <c:v>0.37142494035364859</c:v>
                </c:pt>
                <c:pt idx="14">
                  <c:v>0.48558954976913232</c:v>
                </c:pt>
                <c:pt idx="15">
                  <c:v>0.63240786103276236</c:v>
                </c:pt>
                <c:pt idx="16">
                  <c:v>0.8196109585653959</c:v>
                </c:pt>
                <c:pt idx="17">
                  <c:v>1.0557109396321216</c:v>
                </c:pt>
                <c:pt idx="18">
                  <c:v>1.3493478064545821</c:v>
                </c:pt>
                <c:pt idx="19">
                  <c:v>1.7080819522285198</c:v>
                </c:pt>
                <c:pt idx="20">
                  <c:v>2.1364666669026988</c:v>
                </c:pt>
                <c:pt idx="21">
                  <c:v>2.633386915282915</c:v>
                </c:pt>
                <c:pt idx="22">
                  <c:v>3.1890701501620242</c:v>
                </c:pt>
                <c:pt idx="23">
                  <c:v>3.782917616024092</c:v>
                </c:pt>
                <c:pt idx="24">
                  <c:v>4.3840483637855812</c:v>
                </c:pt>
                <c:pt idx="25">
                  <c:v>4.9562620600819116</c:v>
                </c:pt>
                <c:pt idx="26">
                  <c:v>5.467055766161673</c:v>
                </c:pt>
                <c:pt idx="27">
                  <c:v>5.8970225328028683</c:v>
                </c:pt>
                <c:pt idx="28">
                  <c:v>6.2443677314148243</c:v>
                </c:pt>
                <c:pt idx="29">
                  <c:v>6.5219192868480418</c:v>
                </c:pt>
                <c:pt idx="30">
                  <c:v>6.7491254178080498</c:v>
                </c:pt>
                <c:pt idx="31">
                  <c:v>6.944301175733445</c:v>
                </c:pt>
                <c:pt idx="32">
                  <c:v>7.1206613294007317</c:v>
                </c:pt>
                <c:pt idx="33">
                  <c:v>7.2861228004693084</c:v>
                </c:pt>
                <c:pt idx="34">
                  <c:v>7.4449038424028959</c:v>
                </c:pt>
                <c:pt idx="35">
                  <c:v>7.5991964005906976</c:v>
                </c:pt>
                <c:pt idx="36">
                  <c:v>7.750241198414674</c:v>
                </c:pt>
                <c:pt idx="37">
                  <c:v>7.8988494782301402</c:v>
                </c:pt>
                <c:pt idx="38">
                  <c:v>8.0456118262735394</c:v>
                </c:pt>
                <c:pt idx="39">
                  <c:v>8.1909763922034085</c:v>
                </c:pt>
                <c:pt idx="40">
                  <c:v>8.3352845290309308</c:v>
                </c:pt>
                <c:pt idx="41">
                  <c:v>8.4787944952573788</c:v>
                </c:pt>
                <c:pt idx="42">
                  <c:v>8.6217006199648836</c:v>
                </c:pt>
                <c:pt idx="43">
                  <c:v>8.7641489039451397</c:v>
                </c:pt>
                <c:pt idx="44">
                  <c:v>8.9062492080212596</c:v>
                </c:pt>
                <c:pt idx="45">
                  <c:v>9.0480844555542603</c:v>
                </c:pt>
                <c:pt idx="46">
                  <c:v>9.1897174543151809</c:v>
                </c:pt>
                <c:pt idx="47">
                  <c:v>9.3311959259351571</c:v>
                </c:pt>
                <c:pt idx="48">
                  <c:v>9.4725562222613462</c:v>
                </c:pt>
                <c:pt idx="49">
                  <c:v>9.6138260876971664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pD3</c:v>
          </c:tx>
          <c:spPr>
            <a:ln w="19050">
              <a:solidFill>
                <a:srgbClr val="00FF00"/>
              </a:solidFill>
            </a:ln>
          </c:spPr>
          <c:marker>
            <c:symbol val="diamond"/>
            <c:size val="4"/>
            <c:spPr>
              <a:noFill/>
              <a:ln w="12700">
                <a:solidFill>
                  <a:srgbClr val="00FF00"/>
                </a:solidFill>
              </a:ln>
            </c:spPr>
          </c:marker>
          <c:xVal>
            <c:numRef>
              <c:f>'pD-TC'!$C$22:$C$121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'pD-TC'!$F$22:$F$121</c:f>
              <c:numCache>
                <c:formatCode>General</c:formatCode>
                <c:ptCount val="100"/>
                <c:pt idx="0">
                  <c:v>9.9987649742138175E-3</c:v>
                </c:pt>
                <c:pt idx="1">
                  <c:v>1.3254315836885678E-2</c:v>
                </c:pt>
                <c:pt idx="2">
                  <c:v>1.7569373031217469E-2</c:v>
                </c:pt>
                <c:pt idx="3">
                  <c:v>2.3288387139158626E-2</c:v>
                </c:pt>
                <c:pt idx="4">
                  <c:v>3.0867521987467721E-2</c:v>
                </c:pt>
                <c:pt idx="5">
                  <c:v>4.0910685207215761E-2</c:v>
                </c:pt>
                <c:pt idx="6">
                  <c:v>5.4217030012265251E-2</c:v>
                </c:pt>
                <c:pt idx="7">
                  <c:v>7.1843468421801546E-2</c:v>
                </c:pt>
                <c:pt idx="8">
                  <c:v>9.5186744301882092E-2</c:v>
                </c:pt>
                <c:pt idx="9">
                  <c:v>0.12609084466693049</c:v>
                </c:pt>
                <c:pt idx="10">
                  <c:v>0.16698697469117479</c:v>
                </c:pt>
                <c:pt idx="11">
                  <c:v>0.221074924448872</c:v>
                </c:pt>
                <c:pt idx="12">
                  <c:v>0.29255624018382981</c:v>
                </c:pt>
                <c:pt idx="13">
                  <c:v>0.38693079819714299</c:v>
                </c:pt>
                <c:pt idx="14">
                  <c:v>0.51136841378459319</c:v>
                </c:pt>
                <c:pt idx="15">
                  <c:v>0.67516462162870106</c:v>
                </c:pt>
                <c:pt idx="16">
                  <c:v>0.89028234085342761</c:v>
                </c:pt>
                <c:pt idx="17">
                  <c:v>1.1719648365922015</c:v>
                </c:pt>
                <c:pt idx="18">
                  <c:v>1.5393740707884287</c:v>
                </c:pt>
                <c:pt idx="19">
                  <c:v>2.016153336822645</c:v>
                </c:pt>
                <c:pt idx="20">
                  <c:v>2.6307224329419165</c:v>
                </c:pt>
                <c:pt idx="21">
                  <c:v>3.4159746583248007</c:v>
                </c:pt>
                <c:pt idx="22">
                  <c:v>4.4078476617495808</c:v>
                </c:pt>
                <c:pt idx="23">
                  <c:v>5.6419896350822576</c:v>
                </c:pt>
                <c:pt idx="24">
                  <c:v>7.1474958311117236</c:v>
                </c:pt>
                <c:pt idx="25">
                  <c:v>8.9366650056900667</c:v>
                </c:pt>
                <c:pt idx="26">
                  <c:v>10.990513039753191</c:v>
                </c:pt>
                <c:pt idx="27">
                  <c:v>13.242463052540055</c:v>
                </c:pt>
                <c:pt idx="28">
                  <c:v>15.567920158732138</c:v>
                </c:pt>
                <c:pt idx="29">
                  <c:v>17.792863581654888</c:v>
                </c:pt>
                <c:pt idx="30">
                  <c:v>19.732065809950264</c:v>
                </c:pt>
                <c:pt idx="31">
                  <c:v>21.249395648889237</c:v>
                </c:pt>
                <c:pt idx="32">
                  <c:v>22.307801249559411</c:v>
                </c:pt>
                <c:pt idx="33">
                  <c:v>22.973274330226118</c:v>
                </c:pt>
                <c:pt idx="34">
                  <c:v>23.369516468656556</c:v>
                </c:pt>
                <c:pt idx="35">
                  <c:v>23.618213930839993</c:v>
                </c:pt>
                <c:pt idx="36">
                  <c:v>23.802971789803514</c:v>
                </c:pt>
                <c:pt idx="37">
                  <c:v>23.966136073753617</c:v>
                </c:pt>
                <c:pt idx="38">
                  <c:v>24.123202663903935</c:v>
                </c:pt>
                <c:pt idx="39">
                  <c:v>24.277725174011152</c:v>
                </c:pt>
                <c:pt idx="40">
                  <c:v>24.429874002700917</c:v>
                </c:pt>
                <c:pt idx="41">
                  <c:v>24.579585657736448</c:v>
                </c:pt>
                <c:pt idx="42">
                  <c:v>24.72713027179682</c:v>
                </c:pt>
                <c:pt idx="43">
                  <c:v>24.872952251276516</c:v>
                </c:pt>
                <c:pt idx="44">
                  <c:v>25.01748782309701</c:v>
                </c:pt>
                <c:pt idx="45">
                  <c:v>25.161088073286997</c:v>
                </c:pt>
                <c:pt idx="46">
                  <c:v>25.3040115338524</c:v>
                </c:pt>
                <c:pt idx="47">
                  <c:v>25.446442207993346</c:v>
                </c:pt>
                <c:pt idx="48">
                  <c:v>25.588510483863061</c:v>
                </c:pt>
                <c:pt idx="49">
                  <c:v>25.730309680319944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pD4</c:v>
          </c:tx>
          <c:spPr>
            <a:ln w="19050">
              <a:solidFill>
                <a:srgbClr val="FFFF00"/>
              </a:solidFill>
            </a:ln>
          </c:spPr>
          <c:marker>
            <c:symbol val="x"/>
            <c:size val="4"/>
            <c:spPr>
              <a:noFill/>
              <a:ln w="12700">
                <a:solidFill>
                  <a:srgbClr val="FFFF00"/>
                </a:solidFill>
              </a:ln>
            </c:spPr>
          </c:marker>
          <c:xVal>
            <c:numRef>
              <c:f>'pD-TC'!$C$22:$C$121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'pD-TC'!$G$22:$G$121</c:f>
              <c:numCache>
                <c:formatCode>General</c:formatCode>
                <c:ptCount val="100"/>
                <c:pt idx="0">
                  <c:v>9.9983602784561535E-3</c:v>
                </c:pt>
                <c:pt idx="1">
                  <c:v>1.3253616406347715E-2</c:v>
                </c:pt>
                <c:pt idx="2">
                  <c:v>1.7568164094229712E-2</c:v>
                </c:pt>
                <c:pt idx="3">
                  <c:v>2.3286297363833832E-2</c:v>
                </c:pt>
                <c:pt idx="4">
                  <c:v>3.0863909349448028E-2</c:v>
                </c:pt>
                <c:pt idx="5">
                  <c:v>4.090443969479525E-2</c:v>
                </c:pt>
                <c:pt idx="6">
                  <c:v>5.420623265628717E-2</c:v>
                </c:pt>
                <c:pt idx="7">
                  <c:v>7.1824802238587171E-2</c:v>
                </c:pt>
                <c:pt idx="8">
                  <c:v>9.5154477177490412E-2</c:v>
                </c:pt>
                <c:pt idx="9">
                  <c:v>0.12603507441490722</c:v>
                </c:pt>
                <c:pt idx="10">
                  <c:v>0.16689060415160795</c:v>
                </c:pt>
                <c:pt idx="11">
                  <c:v>0.22090845495046141</c:v>
                </c:pt>
                <c:pt idx="12">
                  <c:v>0.29226882714809277</c:v>
                </c:pt>
                <c:pt idx="13">
                  <c:v>0.38643492575365035</c:v>
                </c:pt>
                <c:pt idx="14">
                  <c:v>0.51051373017646862</c:v>
                </c:pt>
                <c:pt idx="15">
                  <c:v>0.67369348697978815</c:v>
                </c:pt>
                <c:pt idx="16">
                  <c:v>0.88775480550732622</c:v>
                </c:pt>
                <c:pt idx="17">
                  <c:v>1.1676331607787358</c:v>
                </c:pt>
                <c:pt idx="18">
                  <c:v>1.5319753609117599</c:v>
                </c:pt>
                <c:pt idx="19">
                  <c:v>2.0035722757925627</c:v>
                </c:pt>
                <c:pt idx="20">
                  <c:v>2.6094539377696297</c:v>
                </c:pt>
                <c:pt idx="21">
                  <c:v>3.3802900794269641</c:v>
                </c:pt>
                <c:pt idx="22">
                  <c:v>4.3485440788900505</c:v>
                </c:pt>
                <c:pt idx="23">
                  <c:v>5.5445985165787954</c:v>
                </c:pt>
                <c:pt idx="24">
                  <c:v>6.9898976593084647</c:v>
                </c:pt>
                <c:pt idx="25">
                  <c:v>8.6863335879163426</c:v>
                </c:pt>
                <c:pt idx="26">
                  <c:v>10.602337816068381</c:v>
                </c:pt>
                <c:pt idx="27">
                  <c:v>12.65941352761066</c:v>
                </c:pt>
                <c:pt idx="28">
                  <c:v>14.728033367658456</c:v>
                </c:pt>
                <c:pt idx="29">
                  <c:v>16.644863654079018</c:v>
                </c:pt>
                <c:pt idx="30">
                  <c:v>18.25600859481807</c:v>
                </c:pt>
                <c:pt idx="31">
                  <c:v>19.470711105912837</c:v>
                </c:pt>
                <c:pt idx="32">
                  <c:v>20.292459920463575</c:v>
                </c:pt>
                <c:pt idx="33">
                  <c:v>20.804195916411409</c:v>
                </c:pt>
                <c:pt idx="34">
                  <c:v>21.119297255504804</c:v>
                </c:pt>
                <c:pt idx="35">
                  <c:v>21.334298604642697</c:v>
                </c:pt>
                <c:pt idx="36">
                  <c:v>21.508651317699222</c:v>
                </c:pt>
                <c:pt idx="37">
                  <c:v>21.669575395337297</c:v>
                </c:pt>
                <c:pt idx="38">
                  <c:v>21.826006482615657</c:v>
                </c:pt>
                <c:pt idx="39">
                  <c:v>21.979738541467611</c:v>
                </c:pt>
                <c:pt idx="40">
                  <c:v>22.130907549511321</c:v>
                </c:pt>
                <c:pt idx="41">
                  <c:v>22.27969426330219</c:v>
                </c:pt>
                <c:pt idx="42">
                  <c:v>22.426497215119099</c:v>
                </c:pt>
                <c:pt idx="43">
                  <c:v>22.571772983595228</c:v>
                </c:pt>
                <c:pt idx="44">
                  <c:v>22.715920634292623</c:v>
                </c:pt>
                <c:pt idx="45">
                  <c:v>22.859247256696165</c:v>
                </c:pt>
                <c:pt idx="46">
                  <c:v>23.001976021805906</c:v>
                </c:pt>
                <c:pt idx="47">
                  <c:v>23.144266161674096</c:v>
                </c:pt>
                <c:pt idx="48">
                  <c:v>23.286231558885127</c:v>
                </c:pt>
                <c:pt idx="49">
                  <c:v>23.427954592333855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pD5</c:v>
          </c:tx>
          <c:spPr>
            <a:ln w="19050">
              <a:solidFill>
                <a:srgbClr val="080808"/>
              </a:solidFill>
            </a:ln>
          </c:spPr>
          <c:marker>
            <c:symbol val="triangle"/>
            <c:size val="4"/>
            <c:spPr>
              <a:noFill/>
              <a:ln w="12700">
                <a:solidFill>
                  <a:srgbClr val="080808"/>
                </a:solidFill>
              </a:ln>
            </c:spPr>
          </c:marker>
          <c:xVal>
            <c:numRef>
              <c:f>'pD-TC'!$C$22:$C$121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'pD-TC'!$H$22:$H$121</c:f>
              <c:numCache>
                <c:formatCode>General</c:formatCode>
                <c:ptCount val="100"/>
                <c:pt idx="0">
                  <c:v>9.9958892365275102E-3</c:v>
                </c:pt>
                <c:pt idx="1">
                  <c:v>1.324937983058719E-2</c:v>
                </c:pt>
                <c:pt idx="2">
                  <c:v>1.7560898608354438E-2</c:v>
                </c:pt>
                <c:pt idx="3">
                  <c:v>2.3273834501344823E-2</c:v>
                </c:pt>
                <c:pt idx="4">
                  <c:v>3.0842526734825081E-2</c:v>
                </c:pt>
                <c:pt idx="5">
                  <c:v>4.0867747211866562E-2</c:v>
                </c:pt>
                <c:pt idx="6">
                  <c:v>5.4143260858035551E-2</c:v>
                </c:pt>
                <c:pt idx="7">
                  <c:v>7.1716723104815555E-2</c:v>
                </c:pt>
                <c:pt idx="8">
                  <c:v>9.4968982570221169E-2</c:v>
                </c:pt>
                <c:pt idx="9">
                  <c:v>0.1257167486887876</c:v>
                </c:pt>
                <c:pt idx="10">
                  <c:v>0.16634445941664988</c:v>
                </c:pt>
                <c:pt idx="11">
                  <c:v>0.21997182783285013</c:v>
                </c:pt>
                <c:pt idx="12">
                  <c:v>0.29066353863754291</c:v>
                </c:pt>
                <c:pt idx="13">
                  <c:v>0.38368614206495338</c:v>
                </c:pt>
                <c:pt idx="14">
                  <c:v>0.5058130365403527</c:v>
                </c:pt>
                <c:pt idx="15">
                  <c:v>0.66566938900048034</c:v>
                </c:pt>
                <c:pt idx="16">
                  <c:v>0.87409159427371541</c:v>
                </c:pt>
                <c:pt idx="17">
                  <c:v>1.1444456751109058</c:v>
                </c:pt>
                <c:pt idx="18">
                  <c:v>1.4927997519292349</c:v>
                </c:pt>
                <c:pt idx="19">
                  <c:v>1.937770710488764</c:v>
                </c:pt>
                <c:pt idx="20">
                  <c:v>2.499759829935142</c:v>
                </c:pt>
                <c:pt idx="21">
                  <c:v>3.1991607632632482</c:v>
                </c:pt>
                <c:pt idx="22">
                  <c:v>4.0529993930688288</c:v>
                </c:pt>
                <c:pt idx="23">
                  <c:v>5.0694648456663121</c:v>
                </c:pt>
                <c:pt idx="24">
                  <c:v>6.240212295178698</c:v>
                </c:pt>
                <c:pt idx="25">
                  <c:v>7.5316806181596103</c:v>
                </c:pt>
                <c:pt idx="26">
                  <c:v>8.8792916091396883</c:v>
                </c:pt>
                <c:pt idx="27">
                  <c:v>10.191096136160372</c:v>
                </c:pt>
                <c:pt idx="28">
                  <c:v>11.366393871419826</c:v>
                </c:pt>
                <c:pt idx="29">
                  <c:v>12.326319236707301</c:v>
                </c:pt>
                <c:pt idx="30">
                  <c:v>13.041084677536714</c:v>
                </c:pt>
                <c:pt idx="31">
                  <c:v>13.535620364656008</c:v>
                </c:pt>
                <c:pt idx="32">
                  <c:v>13.869669332524474</c:v>
                </c:pt>
                <c:pt idx="33">
                  <c:v>14.107638711564476</c:v>
                </c:pt>
                <c:pt idx="34">
                  <c:v>14.297671298428698</c:v>
                </c:pt>
                <c:pt idx="35">
                  <c:v>14.466969369774663</c:v>
                </c:pt>
                <c:pt idx="36">
                  <c:v>14.627482268236683</c:v>
                </c:pt>
                <c:pt idx="37">
                  <c:v>14.783378320185903</c:v>
                </c:pt>
                <c:pt idx="38">
                  <c:v>14.935965949143704</c:v>
                </c:pt>
                <c:pt idx="39">
                  <c:v>15.085850762682592</c:v>
                </c:pt>
                <c:pt idx="40">
                  <c:v>15.233549406901748</c:v>
                </c:pt>
                <c:pt idx="41">
                  <c:v>15.379550638163542</c:v>
                </c:pt>
                <c:pt idx="42">
                  <c:v>15.524274109025839</c:v>
                </c:pt>
                <c:pt idx="43">
                  <c:v>15.668050172246714</c:v>
                </c:pt>
                <c:pt idx="44">
                  <c:v>15.81112609580874</c:v>
                </c:pt>
                <c:pt idx="45">
                  <c:v>15.953682962221324</c:v>
                </c:pt>
                <c:pt idx="46">
                  <c:v>16.095852856273126</c:v>
                </c:pt>
                <c:pt idx="47">
                  <c:v>16.237732615393174</c:v>
                </c:pt>
                <c:pt idx="48">
                  <c:v>16.379393824752629</c:v>
                </c:pt>
                <c:pt idx="49">
                  <c:v>16.520889835285356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506576"/>
        <c:axId val="386516376"/>
      </c:scatterChart>
      <c:valAx>
        <c:axId val="386506576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tD</a:t>
                </a:r>
              </a:p>
            </c:rich>
          </c:tx>
          <c:layout>
            <c:manualLayout>
              <c:xMode val="edge"/>
              <c:yMode val="edge"/>
              <c:x val="0.50271512662753215"/>
              <c:y val="0.881620204437026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86516376"/>
        <c:crosses val="autoZero"/>
        <c:crossBetween val="midCat"/>
      </c:valAx>
      <c:valAx>
        <c:axId val="386516376"/>
        <c:scaling>
          <c:logBase val="10"/>
          <c:orientation val="minMax"/>
        </c:scaling>
        <c:delete val="0"/>
        <c:axPos val="l"/>
        <c:min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pD</a:t>
                </a:r>
              </a:p>
            </c:rich>
          </c:tx>
          <c:layout>
            <c:manualLayout>
              <c:xMode val="edge"/>
              <c:yMode val="edge"/>
              <c:x val="5.7142857142857143E-3"/>
              <c:y val="0.46550984036411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8650657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7445908935270413"/>
          <c:y val="0.93259981862123198"/>
          <c:w val="0.47696077990251218"/>
          <c:h val="6.7249980747386445E-2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630221222347193E-2"/>
          <c:y val="4.1618790179003738E-2"/>
          <c:w val="0.88993175853018369"/>
          <c:h val="0.75895394442014208"/>
        </c:manualLayout>
      </c:layout>
      <c:scatterChart>
        <c:scatterStyle val="lineMarker"/>
        <c:varyColors val="0"/>
        <c:ser>
          <c:idx val="0"/>
          <c:order val="0"/>
          <c:tx>
            <c:v>PD1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'pD-p''D-TC'!$C$22:$C$121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'pD-p''D-TC'!$D$22:$D$121</c:f>
              <c:numCache>
                <c:formatCode>General</c:formatCode>
                <c:ptCount val="100"/>
                <c:pt idx="0">
                  <c:v>9.9939167498769351E-3</c:v>
                </c:pt>
                <c:pt idx="1">
                  <c:v>1.3246039371108081E-2</c:v>
                </c:pt>
                <c:pt idx="2">
                  <c:v>1.7555238097858437E-2</c:v>
                </c:pt>
                <c:pt idx="3">
                  <c:v>2.3264237389510813E-2</c:v>
                </c:pt>
                <c:pt idx="4">
                  <c:v>3.0826247403174502E-2</c:v>
                </c:pt>
                <c:pt idx="5">
                  <c:v>4.0840121388864177E-2</c:v>
                </c:pt>
                <c:pt idx="6">
                  <c:v>5.409636411045253E-2</c:v>
                </c:pt>
                <c:pt idx="7">
                  <c:v>7.1637092871527558E-2</c:v>
                </c:pt>
                <c:pt idx="8">
                  <c:v>9.483375348508169E-2</c:v>
                </c:pt>
                <c:pt idx="9">
                  <c:v>0.12548710475302105</c:v>
                </c:pt>
                <c:pt idx="10">
                  <c:v>0.16595456160693062</c:v>
                </c:pt>
                <c:pt idx="11">
                  <c:v>0.21931014164716064</c:v>
                </c:pt>
                <c:pt idx="12">
                  <c:v>0.28954146400166614</c:v>
                </c:pt>
                <c:pt idx="13">
                  <c:v>0.38178558483248942</c:v>
                </c:pt>
                <c:pt idx="14">
                  <c:v>0.50259940542051051</c:v>
                </c:pt>
                <c:pt idx="15">
                  <c:v>0.66024859558758608</c:v>
                </c:pt>
                <c:pt idx="16">
                  <c:v>0.86497800744439757</c:v>
                </c:pt>
                <c:pt idx="17">
                  <c:v>1.129191885458882</c:v>
                </c:pt>
                <c:pt idx="18">
                  <c:v>1.4674186785242826</c:v>
                </c:pt>
                <c:pt idx="19">
                  <c:v>1.8958588369138931</c:v>
                </c:pt>
                <c:pt idx="20">
                  <c:v>2.4312159943379905</c:v>
                </c:pt>
                <c:pt idx="21">
                  <c:v>3.0884114333924546</c:v>
                </c:pt>
                <c:pt idx="22">
                  <c:v>3.8767479119492081</c:v>
                </c:pt>
                <c:pt idx="23">
                  <c:v>4.7943066824063028</c:v>
                </c:pt>
                <c:pt idx="24">
                  <c:v>5.821184069595196</c:v>
                </c:pt>
                <c:pt idx="25">
                  <c:v>6.9139305104687248</c:v>
                </c:pt>
                <c:pt idx="26">
                  <c:v>8.0057564533987247</c:v>
                </c:pt>
                <c:pt idx="27">
                  <c:v>9.0173832226805359</c:v>
                </c:pt>
                <c:pt idx="28">
                  <c:v>9.8786344550697098</c:v>
                </c:pt>
                <c:pt idx="29">
                  <c:v>10.551705243078338</c:v>
                </c:pt>
                <c:pt idx="30">
                  <c:v>11.041745988688833</c:v>
                </c:pt>
                <c:pt idx="31">
                  <c:v>11.387421774969816</c:v>
                </c:pt>
                <c:pt idx="32">
                  <c:v>11.638955866687306</c:v>
                </c:pt>
                <c:pt idx="33">
                  <c:v>11.838777165865018</c:v>
                </c:pt>
                <c:pt idx="34">
                  <c:v>12.013757063649344</c:v>
                </c:pt>
                <c:pt idx="35">
                  <c:v>12.177307883520756</c:v>
                </c:pt>
                <c:pt idx="36">
                  <c:v>12.334919050437655</c:v>
                </c:pt>
                <c:pt idx="37">
                  <c:v>12.488629017195029</c:v>
                </c:pt>
                <c:pt idx="38">
                  <c:v>12.639348933642859</c:v>
                </c:pt>
                <c:pt idx="39">
                  <c:v>12.787703827203121</c:v>
                </c:pt>
                <c:pt idx="40">
                  <c:v>12.934223933187029</c:v>
                </c:pt>
                <c:pt idx="41">
                  <c:v>13.079353718482547</c:v>
                </c:pt>
                <c:pt idx="42">
                  <c:v>13.223444742367857</c:v>
                </c:pt>
                <c:pt idx="43">
                  <c:v>13.366763226054124</c:v>
                </c:pt>
                <c:pt idx="44">
                  <c:v>13.509506322030354</c:v>
                </c:pt>
                <c:pt idx="45">
                  <c:v>13.651819077599388</c:v>
                </c:pt>
                <c:pt idx="46">
                  <c:v>13.793808462951798</c:v>
                </c:pt>
                <c:pt idx="47">
                  <c:v>13.935553856330946</c:v>
                </c:pt>
                <c:pt idx="48">
                  <c:v>14.077114562350147</c:v>
                </c:pt>
                <c:pt idx="49">
                  <c:v>14.218535150378766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pD2</c:v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'pD-p''D-TC'!$C$22:$C$121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'pD-p''D-TC'!$E$22:$E$121</c:f>
              <c:numCache>
                <c:formatCode>General</c:formatCode>
                <c:ptCount val="100"/>
                <c:pt idx="0">
                  <c:v>9.9755246496989521E-3</c:v>
                </c:pt>
                <c:pt idx="1">
                  <c:v>1.3216756499929422E-2</c:v>
                </c:pt>
                <c:pt idx="2">
                  <c:v>1.7508342559503277E-2</c:v>
                </c:pt>
                <c:pt idx="3">
                  <c:v>2.3188746219709292E-2</c:v>
                </c:pt>
                <c:pt idx="4">
                  <c:v>3.070416903143721E-2</c:v>
                </c:pt>
                <c:pt idx="5">
                  <c:v>4.0641919349103453E-2</c:v>
                </c:pt>
                <c:pt idx="6">
                  <c:v>5.3773464513803382E-2</c:v>
                </c:pt>
                <c:pt idx="7">
                  <c:v>7.1109510962077391E-2</c:v>
                </c:pt>
                <c:pt idx="8">
                  <c:v>9.3969676033259203E-2</c:v>
                </c:pt>
                <c:pt idx="9">
                  <c:v>0.12406925251372961</c:v>
                </c:pt>
                <c:pt idx="10">
                  <c:v>0.16362491597687678</c:v>
                </c:pt>
                <c:pt idx="11">
                  <c:v>0.21547946925279471</c:v>
                </c:pt>
                <c:pt idx="12">
                  <c:v>0.28324202994911701</c:v>
                </c:pt>
                <c:pt idx="13">
                  <c:v>0.37143319632986388</c:v>
                </c:pt>
                <c:pt idx="14">
                  <c:v>0.48561294305598418</c:v>
                </c:pt>
                <c:pt idx="15">
                  <c:v>0.63245022667061701</c:v>
                </c:pt>
                <c:pt idx="16">
                  <c:v>0.8196657534849181</c:v>
                </c:pt>
                <c:pt idx="17">
                  <c:v>1.0557433395767029</c:v>
                </c:pt>
                <c:pt idx="18">
                  <c:v>1.3492666380063292</c:v>
                </c:pt>
                <c:pt idx="19">
                  <c:v>1.7077143610375376</c:v>
                </c:pt>
                <c:pt idx="20">
                  <c:v>2.1355764991703059</c:v>
                </c:pt>
                <c:pt idx="21">
                  <c:v>2.6318026476361562</c:v>
                </c:pt>
                <c:pt idx="22">
                  <c:v>3.1869496676125242</c:v>
                </c:pt>
                <c:pt idx="23">
                  <c:v>3.7810095975675995</c:v>
                </c:pt>
                <c:pt idx="24">
                  <c:v>4.383597274741029</c:v>
                </c:pt>
                <c:pt idx="25">
                  <c:v>4.9582899073505864</c:v>
                </c:pt>
                <c:pt idx="26">
                  <c:v>5.4713842724099981</c:v>
                </c:pt>
                <c:pt idx="27">
                  <c:v>5.9020190031820254</c:v>
                </c:pt>
                <c:pt idx="28">
                  <c:v>6.2479506855495019</c:v>
                </c:pt>
                <c:pt idx="29">
                  <c:v>6.5230023440811031</c:v>
                </c:pt>
                <c:pt idx="30">
                  <c:v>6.7481375620144135</c:v>
                </c:pt>
                <c:pt idx="31">
                  <c:v>6.9424906512508526</c:v>
                </c:pt>
                <c:pt idx="32">
                  <c:v>7.119094348265957</c:v>
                </c:pt>
                <c:pt idx="33">
                  <c:v>7.2852290739570451</c:v>
                </c:pt>
                <c:pt idx="34">
                  <c:v>7.4446123222913778</c:v>
                </c:pt>
                <c:pt idx="35">
                  <c:v>7.5992565891574815</c:v>
                </c:pt>
                <c:pt idx="36">
                  <c:v>7.750436626224384</c:v>
                </c:pt>
                <c:pt idx="37">
                  <c:v>7.8990591915389876</c:v>
                </c:pt>
                <c:pt idx="38">
                  <c:v>8.0457907247276825</c:v>
                </c:pt>
                <c:pt idx="39">
                  <c:v>8.1911190728547147</c:v>
                </c:pt>
                <c:pt idx="40">
                  <c:v>8.3353996130641796</c:v>
                </c:pt>
                <c:pt idx="41">
                  <c:v>8.478892186086691</c:v>
                </c:pt>
                <c:pt idx="42">
                  <c:v>8.6217886030027575</c:v>
                </c:pt>
                <c:pt idx="43">
                  <c:v>8.7642319713736416</c:v>
                </c:pt>
                <c:pt idx="44">
                  <c:v>8.9063300165171206</c:v>
                </c:pt>
                <c:pt idx="45">
                  <c:v>9.0481643488630663</c:v>
                </c:pt>
                <c:pt idx="46">
                  <c:v>9.1897970539766174</c:v>
                </c:pt>
                <c:pt idx="47">
                  <c:v>9.3312754896052468</c:v>
                </c:pt>
                <c:pt idx="48">
                  <c:v>9.4726358381978528</c:v>
                </c:pt>
                <c:pt idx="49">
                  <c:v>9.6139057726979775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pD3</c:v>
          </c:tx>
          <c:spPr>
            <a:ln w="19050"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'pD-p''D-TC'!$C$22:$C$121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'pD-p''D-TC'!$F$22:$F$121</c:f>
              <c:numCache>
                <c:formatCode>General</c:formatCode>
                <c:ptCount val="100"/>
                <c:pt idx="0">
                  <c:v>9.9975570718319213E-3</c:v>
                </c:pt>
                <c:pt idx="1">
                  <c:v>1.3252845855320031E-2</c:v>
                </c:pt>
                <c:pt idx="2">
                  <c:v>1.7567651864022402E-2</c:v>
                </c:pt>
                <c:pt idx="3">
                  <c:v>2.3286499783489144E-2</c:v>
                </c:pt>
                <c:pt idx="4">
                  <c:v>3.0865703396145857E-2</c:v>
                </c:pt>
                <c:pt idx="5">
                  <c:v>4.090945872540952E-2</c:v>
                </c:pt>
                <c:pt idx="6">
                  <c:v>5.4217456502974791E-2</c:v>
                </c:pt>
                <c:pt idx="7">
                  <c:v>7.1847590053027044E-2</c:v>
                </c:pt>
                <c:pt idx="8">
                  <c:v>9.5198369196868873E-2</c:v>
                </c:pt>
                <c:pt idx="9">
                  <c:v>0.12611692619442666</c:v>
                </c:pt>
                <c:pt idx="10">
                  <c:v>0.16704002483611444</c:v>
                </c:pt>
                <c:pt idx="11">
                  <c:v>0.22117721954693856</c:v>
                </c:pt>
                <c:pt idx="12">
                  <c:v>0.29274712254200519</c:v>
                </c:pt>
                <c:pt idx="13">
                  <c:v>0.38727930189903093</c:v>
                </c:pt>
                <c:pt idx="14">
                  <c:v>0.51199499631562428</c:v>
                </c:pt>
                <c:pt idx="15">
                  <c:v>0.6762783477728288</c:v>
                </c:pt>
                <c:pt idx="16">
                  <c:v>0.89224400422432382</c:v>
                </c:pt>
                <c:pt idx="17">
                  <c:v>1.1753929368274096</c:v>
                </c:pt>
                <c:pt idx="18">
                  <c:v>1.5453200251215711</c:v>
                </c:pt>
                <c:pt idx="19">
                  <c:v>2.0263850530640934</c:v>
                </c:pt>
                <c:pt idx="20">
                  <c:v>2.6481703477324361</c:v>
                </c:pt>
                <c:pt idx="21">
                  <c:v>3.4454084382527892</c:v>
                </c:pt>
                <c:pt idx="22">
                  <c:v>4.4568614560204258</c:v>
                </c:pt>
                <c:pt idx="23">
                  <c:v>5.7223825197034257</c:v>
                </c:pt>
                <c:pt idx="24">
                  <c:v>7.2771602552301289</c:v>
                </c:pt>
                <c:pt idx="25">
                  <c:v>9.1421376948840187</c:v>
                </c:pt>
                <c:pt idx="26">
                  <c:v>11.31020319515968</c:v>
                </c:pt>
                <c:pt idx="27">
                  <c:v>13.729580641809386</c:v>
                </c:pt>
                <c:pt idx="28">
                  <c:v>16.289463231851453</c:v>
                </c:pt>
                <c:pt idx="29">
                  <c:v>18.81797556927561</c:v>
                </c:pt>
                <c:pt idx="30">
                  <c:v>21.105805635233981</c:v>
                </c:pt>
                <c:pt idx="31">
                  <c:v>22.962480490693306</c:v>
                </c:pt>
                <c:pt idx="32">
                  <c:v>24.288724370430927</c:v>
                </c:pt>
                <c:pt idx="33">
                  <c:v>25.119071696322219</c:v>
                </c:pt>
                <c:pt idx="34">
                  <c:v>25.593523126765319</c:v>
                </c:pt>
                <c:pt idx="35">
                  <c:v>25.874542863226221</c:v>
                </c:pt>
                <c:pt idx="36">
                  <c:v>26.076742548491737</c:v>
                </c:pt>
                <c:pt idx="37">
                  <c:v>26.252986662265791</c:v>
                </c:pt>
                <c:pt idx="38">
                  <c:v>26.418905429031344</c:v>
                </c:pt>
                <c:pt idx="39">
                  <c:v>26.5778311270996</c:v>
                </c:pt>
                <c:pt idx="40">
                  <c:v>26.731426685192584</c:v>
                </c:pt>
                <c:pt idx="41">
                  <c:v>26.881341600062623</c:v>
                </c:pt>
                <c:pt idx="42">
                  <c:v>27.028830976219083</c:v>
                </c:pt>
                <c:pt idx="43">
                  <c:v>27.17466761774806</c:v>
                </c:pt>
                <c:pt idx="44">
                  <c:v>27.31931105804729</c:v>
                </c:pt>
                <c:pt idx="45">
                  <c:v>27.463060893497087</c:v>
                </c:pt>
                <c:pt idx="46">
                  <c:v>27.606133503084489</c:v>
                </c:pt>
                <c:pt idx="47">
                  <c:v>27.748692996962603</c:v>
                </c:pt>
                <c:pt idx="48">
                  <c:v>27.890864695468565</c:v>
                </c:pt>
                <c:pt idx="49">
                  <c:v>28.032743826540283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pD4</c:v>
          </c:tx>
          <c:spPr>
            <a:ln w="1905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'pD-p''D-TC'!$C$22:$C$121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'pD-p''D-TC'!$G$22:$G$121</c:f>
              <c:numCache>
                <c:formatCode>General</c:formatCode>
                <c:ptCount val="100"/>
                <c:pt idx="0">
                  <c:v>9.9988445657305577E-3</c:v>
                </c:pt>
                <c:pt idx="1">
                  <c:v>1.3255091120941205E-2</c:v>
                </c:pt>
                <c:pt idx="2">
                  <c:v>1.7571565257582761E-2</c:v>
                </c:pt>
                <c:pt idx="3">
                  <c:v>2.3293317754105161E-2</c:v>
                </c:pt>
                <c:pt idx="4">
                  <c:v>3.087757798828817E-2</c:v>
                </c:pt>
                <c:pt idx="5">
                  <c:v>4.0930134722890733E-2</c:v>
                </c:pt>
                <c:pt idx="6">
                  <c:v>5.4253449899112037E-2</c:v>
                </c:pt>
                <c:pt idx="7">
                  <c:v>7.1910236226852081E-2</c:v>
                </c:pt>
                <c:pt idx="8">
                  <c:v>9.530738367892673E-2</c:v>
                </c:pt>
                <c:pt idx="9">
                  <c:v>0.12630658997986677</c:v>
                </c:pt>
                <c:pt idx="10">
                  <c:v>0.16736992379669038</c:v>
                </c:pt>
                <c:pt idx="11">
                  <c:v>0.22175087175024147</c:v>
                </c:pt>
                <c:pt idx="12">
                  <c:v>0.29374425149433436</c:v>
                </c:pt>
                <c:pt idx="13">
                  <c:v>0.38901166216928329</c:v>
                </c:pt>
                <c:pt idx="14">
                  <c:v>0.51500274033645266</c:v>
                </c:pt>
                <c:pt idx="15">
                  <c:v>0.68149590320165065</c:v>
                </c:pt>
                <c:pt idx="16">
                  <c:v>0.90128454272943859</c:v>
                </c:pt>
                <c:pt idx="17">
                  <c:v>1.1910338055917533</c:v>
                </c:pt>
                <c:pt idx="18">
                  <c:v>1.5723256089672661</c:v>
                </c:pt>
                <c:pt idx="19">
                  <c:v>2.072889256653462</c:v>
                </c:pt>
                <c:pt idx="20">
                  <c:v>2.7279715300050951</c:v>
                </c:pt>
                <c:pt idx="21">
                  <c:v>3.581717402665312</c:v>
                </c:pt>
                <c:pt idx="22">
                  <c:v>4.6882867846462641</c:v>
                </c:pt>
                <c:pt idx="23">
                  <c:v>6.112194239741223</c:v>
                </c:pt>
                <c:pt idx="24">
                  <c:v>7.9269984224052363</c:v>
                </c:pt>
                <c:pt idx="25">
                  <c:v>10.210984803549566</c:v>
                </c:pt>
                <c:pt idx="26">
                  <c:v>13.037961631714534</c:v>
                </c:pt>
                <c:pt idx="27">
                  <c:v>16.461011147322967</c:v>
                </c:pt>
                <c:pt idx="28">
                  <c:v>20.487656094275394</c:v>
                </c:pt>
                <c:pt idx="29">
                  <c:v>25.047562320483713</c:v>
                </c:pt>
                <c:pt idx="30">
                  <c:v>29.959969099895673</c:v>
                </c:pt>
                <c:pt idx="31">
                  <c:v>34.917738248442582</c:v>
                </c:pt>
                <c:pt idx="32">
                  <c:v>39.514143972845766</c:v>
                </c:pt>
                <c:pt idx="33">
                  <c:v>43.33498703406876</c:v>
                </c:pt>
                <c:pt idx="34">
                  <c:v>46.104536600765755</c:v>
                </c:pt>
                <c:pt idx="35">
                  <c:v>47.810474600950819</c:v>
                </c:pt>
                <c:pt idx="36">
                  <c:v>48.700622588217385</c:v>
                </c:pt>
                <c:pt idx="37">
                  <c:v>49.127675818198284</c:v>
                </c:pt>
                <c:pt idx="38">
                  <c:v>49.367356937178108</c:v>
                </c:pt>
                <c:pt idx="39">
                  <c:v>49.552820392964584</c:v>
                </c:pt>
                <c:pt idx="40">
                  <c:v>49.722372185532521</c:v>
                </c:pt>
                <c:pt idx="41">
                  <c:v>49.882811146506015</c:v>
                </c:pt>
                <c:pt idx="42">
                  <c:v>50.036944328519603</c:v>
                </c:pt>
                <c:pt idx="43">
                  <c:v>50.18725837700034</c:v>
                </c:pt>
                <c:pt idx="44">
                  <c:v>50.335209044790638</c:v>
                </c:pt>
                <c:pt idx="45">
                  <c:v>50.481472986072092</c:v>
                </c:pt>
                <c:pt idx="46">
                  <c:v>50.626436759708653</c:v>
                </c:pt>
                <c:pt idx="47">
                  <c:v>50.770401419097993</c:v>
                </c:pt>
                <c:pt idx="48">
                  <c:v>50.913614298673068</c:v>
                </c:pt>
                <c:pt idx="49">
                  <c:v>51.056266918483516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pD5</c:v>
          </c:tx>
          <c:spPr>
            <a:ln w="19050">
              <a:solidFill>
                <a:srgbClr val="080808"/>
              </a:solidFill>
            </a:ln>
          </c:spPr>
          <c:marker>
            <c:symbol val="none"/>
          </c:marker>
          <c:xVal>
            <c:numRef>
              <c:f>'pD-p''D-TC'!$C$22:$C$121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'pD-p''D-TC'!$H$22:$H$121</c:f>
              <c:numCache>
                <c:formatCode>General</c:formatCode>
                <c:ptCount val="100"/>
                <c:pt idx="0">
                  <c:v>9.9992570324245189E-3</c:v>
                </c:pt>
                <c:pt idx="1">
                  <c:v>1.3255806550890844E-2</c:v>
                </c:pt>
                <c:pt idx="2">
                  <c:v>1.7572808440604239E-2</c:v>
                </c:pt>
                <c:pt idx="3">
                  <c:v>2.3295481076106638E-2</c:v>
                </c:pt>
                <c:pt idx="4">
                  <c:v>3.0881346441751154E-2</c:v>
                </c:pt>
                <c:pt idx="5">
                  <c:v>4.0936704775986252E-2</c:v>
                </c:pt>
                <c:pt idx="6">
                  <c:v>5.4264911089896228E-2</c:v>
                </c:pt>
                <c:pt idx="7">
                  <c:v>7.1930238724528792E-2</c:v>
                </c:pt>
                <c:pt idx="8">
                  <c:v>9.5342303443127316E-2</c:v>
                </c:pt>
                <c:pt idx="9">
                  <c:v>0.12636756412617681</c:v>
                </c:pt>
                <c:pt idx="10">
                  <c:v>0.16747640252953525</c:v>
                </c:pt>
                <c:pt idx="11">
                  <c:v>0.2219368168200534</c:v>
                </c:pt>
                <c:pt idx="12">
                  <c:v>0.2940689432152796</c:v>
                </c:pt>
                <c:pt idx="13">
                  <c:v>0.38957852748526783</c:v>
                </c:pt>
                <c:pt idx="14">
                  <c:v>0.51599211325888705</c:v>
                </c:pt>
                <c:pt idx="15">
                  <c:v>0.68322194698229699</c:v>
                </c:pt>
                <c:pt idx="16">
                  <c:v>0.90429394427514054</c:v>
                </c:pt>
                <c:pt idx="17">
                  <c:v>1.1962764232682657</c:v>
                </c:pt>
                <c:pt idx="18">
                  <c:v>1.5814484686717829</c:v>
                </c:pt>
                <c:pt idx="19">
                  <c:v>2.0887405758210571</c:v>
                </c:pt>
                <c:pt idx="20">
                  <c:v>2.7554592092490506</c:v>
                </c:pt>
                <c:pt idx="21">
                  <c:v>3.6292584551715437</c:v>
                </c:pt>
                <c:pt idx="22">
                  <c:v>4.7702256760635997</c:v>
                </c:pt>
                <c:pt idx="23">
                  <c:v>6.2527731880346931</c:v>
                </c:pt>
                <c:pt idx="24">
                  <c:v>8.1667324605726783</c:v>
                </c:pt>
                <c:pt idx="25">
                  <c:v>10.616584303446107</c:v>
                </c:pt>
                <c:pt idx="26">
                  <c:v>13.717100898813575</c:v>
                </c:pt>
                <c:pt idx="27">
                  <c:v>17.582881347334858</c:v>
                </c:pt>
                <c:pt idx="28">
                  <c:v>22.308610130054721</c:v>
                </c:pt>
                <c:pt idx="29">
                  <c:v>27.937079459053912</c:v>
                </c:pt>
                <c:pt idx="30">
                  <c:v>34.414496229456894</c:v>
                </c:pt>
                <c:pt idx="31">
                  <c:v>41.539380807228369</c:v>
                </c:pt>
                <c:pt idx="32">
                  <c:v>48.924062774843286</c:v>
                </c:pt>
                <c:pt idx="33">
                  <c:v>56.004101974366982</c:v>
                </c:pt>
                <c:pt idx="34">
                  <c:v>62.137628796808826</c:v>
                </c:pt>
                <c:pt idx="35">
                  <c:v>66.804771203936866</c:v>
                </c:pt>
                <c:pt idx="36">
                  <c:v>69.828331818167882</c:v>
                </c:pt>
                <c:pt idx="37">
                  <c:v>71.453085259649967</c:v>
                </c:pt>
                <c:pt idx="38">
                  <c:v>72.184666344836387</c:v>
                </c:pt>
                <c:pt idx="39">
                  <c:v>72.505959444121771</c:v>
                </c:pt>
                <c:pt idx="40">
                  <c:v>72.701944061340185</c:v>
                </c:pt>
                <c:pt idx="41">
                  <c:v>72.874659413526317</c:v>
                </c:pt>
                <c:pt idx="42">
                  <c:v>73.040837647372612</c:v>
                </c:pt>
                <c:pt idx="43">
                  <c:v>73.199590625201864</c:v>
                </c:pt>
                <c:pt idx="44">
                  <c:v>73.352015119839649</c:v>
                </c:pt>
                <c:pt idx="45">
                  <c:v>73.500578478141691</c:v>
                </c:pt>
                <c:pt idx="46">
                  <c:v>73.647015678850437</c:v>
                </c:pt>
                <c:pt idx="47">
                  <c:v>73.792142687396662</c:v>
                </c:pt>
                <c:pt idx="48">
                  <c:v>73.936314462765822</c:v>
                </c:pt>
                <c:pt idx="49">
                  <c:v>74.079735104060433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v>p'D1</c:v>
          </c:tx>
          <c:spPr>
            <a:ln w="1905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'pD-p''D-TC'!$C$22:$C$121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'pD-p''D-TC'!$I$22:$I$121</c:f>
              <c:numCache>
                <c:formatCode>General</c:formatCode>
                <c:ptCount val="100"/>
                <c:pt idx="0">
                  <c:v>9.9846765105635702E-3</c:v>
                </c:pt>
                <c:pt idx="1">
                  <c:v>1.3230114702761885E-2</c:v>
                </c:pt>
                <c:pt idx="2">
                  <c:v>1.7527786545947114E-2</c:v>
                </c:pt>
                <c:pt idx="3">
                  <c:v>2.3216905556744018E-2</c:v>
                </c:pt>
                <c:pt idx="4">
                  <c:v>3.0744625590657521E-2</c:v>
                </c:pt>
                <c:pt idx="5">
                  <c:v>4.0699355693564129E-2</c:v>
                </c:pt>
                <c:pt idx="6">
                  <c:v>5.3853597430643933E-2</c:v>
                </c:pt>
                <c:pt idx="7">
                  <c:v>7.1218456167556413E-2</c:v>
                </c:pt>
                <c:pt idx="8">
                  <c:v>9.4112009915291131E-2</c:v>
                </c:pt>
                <c:pt idx="9">
                  <c:v>0.12424330597304289</c:v>
                </c:pt>
                <c:pt idx="10">
                  <c:v>0.16381245997837007</c:v>
                </c:pt>
                <c:pt idx="11">
                  <c:v>0.21562441404911847</c:v>
                </c:pt>
                <c:pt idx="12">
                  <c:v>0.28320817317412161</c:v>
                </c:pt>
                <c:pt idx="13">
                  <c:v>0.37092295004546766</c:v>
                </c:pt>
                <c:pt idx="14">
                  <c:v>0.48401501090222582</c:v>
                </c:pt>
                <c:pt idx="15">
                  <c:v>0.62856084707358006</c:v>
                </c:pt>
                <c:pt idx="16">
                  <c:v>0.81119023137492841</c:v>
                </c:pt>
                <c:pt idx="17">
                  <c:v>1.0384249025287051</c:v>
                </c:pt>
                <c:pt idx="18">
                  <c:v>1.3153982441275327</c:v>
                </c:pt>
                <c:pt idx="19">
                  <c:v>1.6436551314510057</c:v>
                </c:pt>
                <c:pt idx="20">
                  <c:v>2.0177233848250493</c:v>
                </c:pt>
                <c:pt idx="21">
                  <c:v>2.4203529929896086</c:v>
                </c:pt>
                <c:pt idx="22">
                  <c:v>2.8170916565797546</c:v>
                </c:pt>
                <c:pt idx="23">
                  <c:v>3.1527219976755894</c:v>
                </c:pt>
                <c:pt idx="24">
                  <c:v>3.354953361525288</c:v>
                </c:pt>
                <c:pt idx="25">
                  <c:v>3.3521272460108311</c:v>
                </c:pt>
                <c:pt idx="26">
                  <c:v>3.1058995053764598</c:v>
                </c:pt>
                <c:pt idx="27">
                  <c:v>2.6442160863155566</c:v>
                </c:pt>
                <c:pt idx="28">
                  <c:v>2.06646392823655</c:v>
                </c:pt>
                <c:pt idx="29">
                  <c:v>1.504524549589054</c:v>
                </c:pt>
                <c:pt idx="30">
                  <c:v>1.0612948235770148</c:v>
                </c:pt>
                <c:pt idx="31">
                  <c:v>0.77226071390469231</c:v>
                </c:pt>
                <c:pt idx="32">
                  <c:v>0.61349194497921422</c:v>
                </c:pt>
                <c:pt idx="33">
                  <c:v>0.53722380079462329</c:v>
                </c:pt>
                <c:pt idx="34">
                  <c:v>0.50213421191212781</c:v>
                </c:pt>
                <c:pt idx="35">
                  <c:v>0.48389827180683831</c:v>
                </c:pt>
                <c:pt idx="36">
                  <c:v>0.47192079551442417</c:v>
                </c:pt>
                <c:pt idx="37">
                  <c:v>0.46274073419195128</c:v>
                </c:pt>
                <c:pt idx="38">
                  <c:v>0.45547963391292445</c:v>
                </c:pt>
                <c:pt idx="39">
                  <c:v>0.44984646365793829</c:v>
                </c:pt>
                <c:pt idx="40">
                  <c:v>0.44557789695971639</c:v>
                </c:pt>
                <c:pt idx="41">
                  <c:v>0.44238868859934211</c:v>
                </c:pt>
                <c:pt idx="42">
                  <c:v>0.4400168333905356</c:v>
                </c:pt>
                <c:pt idx="43">
                  <c:v>0.43825027633780994</c:v>
                </c:pt>
                <c:pt idx="44">
                  <c:v>0.43692904394416116</c:v>
                </c:pt>
                <c:pt idx="45">
                  <c:v>0.43593623174665758</c:v>
                </c:pt>
                <c:pt idx="46">
                  <c:v>0.43518712686718886</c:v>
                </c:pt>
                <c:pt idx="47">
                  <c:v>0.43462009918728883</c:v>
                </c:pt>
                <c:pt idx="48">
                  <c:v>0.43418990851731637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v>p'D2</c:v>
          </c:tx>
          <c:spPr>
            <a:ln w="19050">
              <a:solidFill>
                <a:srgbClr val="0000FF"/>
              </a:solidFill>
              <a:prstDash val="sysDot"/>
            </a:ln>
          </c:spPr>
          <c:marker>
            <c:symbol val="none"/>
          </c:marker>
          <c:xVal>
            <c:numRef>
              <c:f>'pD-p''D-TC'!$C$22:$C$121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'pD-p''D-TC'!$J$22:$J$121</c:f>
              <c:numCache>
                <c:formatCode>General</c:formatCode>
                <c:ptCount val="100"/>
                <c:pt idx="0">
                  <c:v>9.9512396331584967E-3</c:v>
                </c:pt>
                <c:pt idx="1">
                  <c:v>1.3176040239794981E-2</c:v>
                </c:pt>
                <c:pt idx="2">
                  <c:v>1.7439992153526842E-2</c:v>
                </c:pt>
                <c:pt idx="3">
                  <c:v>2.3073873391282532E-2</c:v>
                </c:pt>
                <c:pt idx="4">
                  <c:v>3.0510910479471534E-2</c:v>
                </c:pt>
                <c:pt idx="5">
                  <c:v>4.0316508884818282E-2</c:v>
                </c:pt>
                <c:pt idx="6">
                  <c:v>5.322518118723104E-2</c:v>
                </c:pt>
                <c:pt idx="7">
                  <c:v>7.0185346556036796E-2</c:v>
                </c:pt>
                <c:pt idx="8">
                  <c:v>9.241180892148898E-2</c:v>
                </c:pt>
                <c:pt idx="9">
                  <c:v>0.12144391520228964</c:v>
                </c:pt>
                <c:pt idx="10">
                  <c:v>0.159204003157735</c:v>
                </c:pt>
                <c:pt idx="11">
                  <c:v>0.20804481468908265</c:v>
                </c:pt>
                <c:pt idx="12">
                  <c:v>0.27076478040907809</c:v>
                </c:pt>
                <c:pt idx="13">
                  <c:v>0.35055499681214569</c:v>
                </c:pt>
                <c:pt idx="14">
                  <c:v>0.45082026335986042</c:v>
                </c:pt>
                <c:pt idx="15">
                  <c:v>0.57478966530723441</c:v>
                </c:pt>
                <c:pt idx="16">
                  <c:v>0.72480610452162164</c:v>
                </c:pt>
                <c:pt idx="17">
                  <c:v>0.90117610080272748</c:v>
                </c:pt>
                <c:pt idx="18">
                  <c:v>1.1005072616418803</c:v>
                </c:pt>
                <c:pt idx="19">
                  <c:v>1.3136236046218008</c:v>
                </c:pt>
                <c:pt idx="20">
                  <c:v>1.52351499176828</c:v>
                </c:pt>
                <c:pt idx="21">
                  <c:v>1.7044140261135114</c:v>
                </c:pt>
                <c:pt idx="22">
                  <c:v>1.8238845576628384</c:v>
                </c:pt>
                <c:pt idx="23">
                  <c:v>1.85006647244774</c:v>
                </c:pt>
                <c:pt idx="24">
                  <c:v>1.7644230239505312</c:v>
                </c:pt>
                <c:pt idx="25">
                  <c:v>1.5753038403489865</c:v>
                </c:pt>
                <c:pt idx="26">
                  <c:v>1.3221360267604501</c:v>
                </c:pt>
                <c:pt idx="27">
                  <c:v>1.0620804765002076</c:v>
                </c:pt>
                <c:pt idx="28">
                  <c:v>0.8444644172403224</c:v>
                </c:pt>
                <c:pt idx="29">
                  <c:v>0.6912108133697471</c:v>
                </c:pt>
                <c:pt idx="30">
                  <c:v>0.59670343061047015</c:v>
                </c:pt>
                <c:pt idx="31">
                  <c:v>0.54220919400568579</c:v>
                </c:pt>
                <c:pt idx="32">
                  <c:v>0.51006732721804993</c:v>
                </c:pt>
                <c:pt idx="33">
                  <c:v>0.48933892142685681</c:v>
                </c:pt>
                <c:pt idx="34">
                  <c:v>0.47478928647738827</c:v>
                </c:pt>
                <c:pt idx="35">
                  <c:v>0.46415339788036358</c:v>
                </c:pt>
                <c:pt idx="36">
                  <c:v>0.45630144052644861</c:v>
                </c:pt>
                <c:pt idx="37">
                  <c:v>0.45049558808871581</c:v>
                </c:pt>
                <c:pt idx="38">
                  <c:v>0.44618752515354454</c:v>
                </c:pt>
                <c:pt idx="39">
                  <c:v>0.44297054217946591</c:v>
                </c:pt>
                <c:pt idx="40">
                  <c:v>0.44055132298665101</c:v>
                </c:pt>
                <c:pt idx="41">
                  <c:v>0.43872100274171644</c:v>
                </c:pt>
                <c:pt idx="42">
                  <c:v>0.43733005175552181</c:v>
                </c:pt>
                <c:pt idx="43">
                  <c:v>0.43626983935925034</c:v>
                </c:pt>
                <c:pt idx="44">
                  <c:v>0.43546018754665383</c:v>
                </c:pt>
                <c:pt idx="45">
                  <c:v>0.43484115102015963</c:v>
                </c:pt>
                <c:pt idx="46">
                  <c:v>0.43436751239031879</c:v>
                </c:pt>
                <c:pt idx="47">
                  <c:v>0.43400496122232557</c:v>
                </c:pt>
                <c:pt idx="48">
                  <c:v>0.43372737160761404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v>p'D3</c:v>
          </c:tx>
          <c:spPr>
            <a:ln w="19050">
              <a:solidFill>
                <a:srgbClr val="00FF00"/>
              </a:solidFill>
              <a:prstDash val="sysDot"/>
            </a:ln>
          </c:spPr>
          <c:marker>
            <c:symbol val="none"/>
          </c:marker>
          <c:xVal>
            <c:numRef>
              <c:f>'pD-p''D-TC'!$C$22:$C$121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'pD-p''D-TC'!$K$22:$K$121</c:f>
              <c:numCache>
                <c:formatCode>General</c:formatCode>
                <c:ptCount val="100"/>
                <c:pt idx="0">
                  <c:v>9.9943972713089843E-3</c:v>
                </c:pt>
                <c:pt idx="1">
                  <c:v>1.32473301964302E-2</c:v>
                </c:pt>
                <c:pt idx="2">
                  <c:v>1.7558023832252807E-2</c:v>
                </c:pt>
                <c:pt idx="3">
                  <c:v>2.3269693395331945E-2</c:v>
                </c:pt>
                <c:pt idx="4">
                  <c:v>3.0836367380262714E-2</c:v>
                </c:pt>
                <c:pt idx="5">
                  <c:v>4.0858254219819583E-2</c:v>
                </c:pt>
                <c:pt idx="6">
                  <c:v>5.4128088278745726E-2</c:v>
                </c:pt>
                <c:pt idx="7">
                  <c:v>7.1691631336032569E-2</c:v>
                </c:pt>
                <c:pt idx="8">
                  <c:v>9.4926245332400197E-2</c:v>
                </c:pt>
                <c:pt idx="9">
                  <c:v>0.12564221874034132</c:v>
                </c:pt>
                <c:pt idx="10">
                  <c:v>0.16621217565663016</c:v>
                </c:pt>
                <c:pt idx="11">
                  <c:v>0.21973412829914457</c:v>
                </c:pt>
                <c:pt idx="12">
                  <c:v>0.29023297724277014</c:v>
                </c:pt>
                <c:pt idx="13">
                  <c:v>0.38290249463858633</c:v>
                </c:pt>
                <c:pt idx="14">
                  <c:v>0.50438323255795303</c:v>
                </c:pt>
                <c:pt idx="15">
                  <c:v>0.66305839853091464</c:v>
                </c:pt>
                <c:pt idx="16">
                  <c:v>0.86932469209384011</c:v>
                </c:pt>
                <c:pt idx="17">
                  <c:v>1.135751242895513</c:v>
                </c:pt>
                <c:pt idx="18">
                  <c:v>1.4769672746020097</c:v>
                </c:pt>
                <c:pt idx="19">
                  <c:v>1.9090070545798126</c:v>
                </c:pt>
                <c:pt idx="20">
                  <c:v>2.4476827484234494</c:v>
                </c:pt>
                <c:pt idx="21">
                  <c:v>3.1053660529626637</c:v>
                </c:pt>
                <c:pt idx="22">
                  <c:v>3.8854065205559714</c:v>
                </c:pt>
                <c:pt idx="23">
                  <c:v>4.7734832117688821</c:v>
                </c:pt>
                <c:pt idx="24">
                  <c:v>5.7258592627709133</c:v>
                </c:pt>
                <c:pt idx="25">
                  <c:v>6.6564011248046491</c:v>
                </c:pt>
                <c:pt idx="26">
                  <c:v>7.4279798074174899</c:v>
                </c:pt>
                <c:pt idx="27">
                  <c:v>7.8593591150993056</c:v>
                </c:pt>
                <c:pt idx="28">
                  <c:v>7.763046072534534</c:v>
                </c:pt>
                <c:pt idx="29">
                  <c:v>7.0241026493299792</c:v>
                </c:pt>
                <c:pt idx="30">
                  <c:v>5.7003686441690027</c:v>
                </c:pt>
                <c:pt idx="31">
                  <c:v>4.071837890381234</c:v>
                </c:pt>
                <c:pt idx="32">
                  <c:v>2.5493348209906848</c:v>
                </c:pt>
                <c:pt idx="33">
                  <c:v>1.4566621879574579</c:v>
                </c:pt>
                <c:pt idx="34">
                  <c:v>0.86278762778745177</c:v>
                </c:pt>
                <c:pt idx="35">
                  <c:v>0.62079407299520972</c:v>
                </c:pt>
                <c:pt idx="36">
                  <c:v>0.54110520047325528</c:v>
                </c:pt>
                <c:pt idx="37">
                  <c:v>0.50940428948480088</c:v>
                </c:pt>
                <c:pt idx="38">
                  <c:v>0.48793414924382877</c:v>
                </c:pt>
                <c:pt idx="39">
                  <c:v>0.4715695376939239</c:v>
                </c:pt>
                <c:pt idx="40">
                  <c:v>0.46026921596189663</c:v>
                </c:pt>
                <c:pt idx="41">
                  <c:v>0.45282231981449667</c:v>
                </c:pt>
                <c:pt idx="42">
                  <c:v>0.4477480890627088</c:v>
                </c:pt>
                <c:pt idx="43">
                  <c:v>0.44408471911065112</c:v>
                </c:pt>
                <c:pt idx="44">
                  <c:v>0.44134117085339242</c:v>
                </c:pt>
                <c:pt idx="45">
                  <c:v>0.43926195000346513</c:v>
                </c:pt>
                <c:pt idx="46">
                  <c:v>0.43768658063199911</c:v>
                </c:pt>
                <c:pt idx="47">
                  <c:v>0.4364959701310438</c:v>
                </c:pt>
                <c:pt idx="48">
                  <c:v>0.43559772872729829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p'D4</c:v>
          </c:tx>
          <c:spPr>
            <a:ln w="19050">
              <a:solidFill>
                <a:srgbClr val="FFFF00"/>
              </a:solidFill>
              <a:prstDash val="sysDot"/>
            </a:ln>
          </c:spPr>
          <c:marker>
            <c:symbol val="none"/>
          </c:marker>
          <c:xVal>
            <c:numRef>
              <c:f>'pD-p''D-TC'!$C$22:$C$121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'pD-p''D-TC'!$L$22:$L$121</c:f>
              <c:numCache>
                <c:formatCode>General</c:formatCode>
                <c:ptCount val="100"/>
                <c:pt idx="0">
                  <c:v>9.9973378248902275E-3</c:v>
                </c:pt>
                <c:pt idx="1">
                  <c:v>1.3252451687773196E-2</c:v>
                </c:pt>
                <c:pt idx="2">
                  <c:v>1.7566941473337868E-2</c:v>
                </c:pt>
                <c:pt idx="3">
                  <c:v>2.328521824972913E-2</c:v>
                </c:pt>
                <c:pt idx="4">
                  <c:v>3.0863389481020406E-2</c:v>
                </c:pt>
                <c:pt idx="5">
                  <c:v>4.0905281742572068E-2</c:v>
                </c:pt>
                <c:pt idx="6">
                  <c:v>5.4209917715798084E-2</c:v>
                </c:pt>
                <c:pt idx="7">
                  <c:v>7.1833991453398485E-2</c:v>
                </c:pt>
                <c:pt idx="8">
                  <c:v>9.5173855062678225E-2</c:v>
                </c:pt>
                <c:pt idx="9">
                  <c:v>0.1260727691906818</c:v>
                </c:pt>
                <c:pt idx="10">
                  <c:v>0.16696054758490272</c:v>
                </c:pt>
                <c:pt idx="11">
                  <c:v>0.2210342878691339</c:v>
                </c:pt>
                <c:pt idx="12">
                  <c:v>0.29249028661418591</c:v>
                </c:pt>
                <c:pt idx="13">
                  <c:v>0.38681818160967291</c:v>
                </c:pt>
                <c:pt idx="14">
                  <c:v>0.51116780209236223</c:v>
                </c:pt>
                <c:pt idx="15">
                  <c:v>0.67479573250256353</c:v>
                </c:pt>
                <c:pt idx="16">
                  <c:v>0.88958904561822738</c:v>
                </c:pt>
                <c:pt idx="17">
                  <c:v>1.1706432248217848</c:v>
                </c:pt>
                <c:pt idx="18">
                  <c:v>1.5368319947303566</c:v>
                </c:pt>
                <c:pt idx="19">
                  <c:v>2.0112355372210753</c:v>
                </c:pt>
                <c:pt idx="20">
                  <c:v>2.6211731086308236</c:v>
                </c:pt>
                <c:pt idx="21">
                  <c:v>3.3973925962826605</c:v>
                </c:pt>
                <c:pt idx="22">
                  <c:v>4.3716848889052047</c:v>
                </c:pt>
                <c:pt idx="23">
                  <c:v>5.5718171804537215</c:v>
                </c:pt>
                <c:pt idx="24">
                  <c:v>7.0123017568217376</c:v>
                </c:pt>
                <c:pt idx="25">
                  <c:v>8.6793926366160967</c:v>
                </c:pt>
                <c:pt idx="26">
                  <c:v>10.509456768285339</c:v>
                </c:pt>
                <c:pt idx="27">
                  <c:v>12.362617250574393</c:v>
                </c:pt>
                <c:pt idx="28">
                  <c:v>13.999837610661469</c:v>
                </c:pt>
                <c:pt idx="29">
                  <c:v>15.082085853872133</c:v>
                </c:pt>
                <c:pt idx="30">
                  <c:v>15.221357534038296</c:v>
                </c:pt>
                <c:pt idx="31">
                  <c:v>14.111898478199011</c:v>
                </c:pt>
                <c:pt idx="32">
                  <c:v>11.730763691038424</c:v>
                </c:pt>
                <c:pt idx="33">
                  <c:v>8.5030792882503476</c:v>
                </c:pt>
                <c:pt idx="34">
                  <c:v>5.2375759043419405</c:v>
                </c:pt>
                <c:pt idx="35">
                  <c:v>2.7329349887862713</c:v>
                </c:pt>
                <c:pt idx="36">
                  <c:v>1.3111400924164349</c:v>
                </c:pt>
                <c:pt idx="37">
                  <c:v>0.73586968187487367</c:v>
                </c:pt>
                <c:pt idx="38">
                  <c:v>0.5694104516446985</c:v>
                </c:pt>
                <c:pt idx="39">
                  <c:v>0.52055841607108344</c:v>
                </c:pt>
                <c:pt idx="40">
                  <c:v>0.49258017350060113</c:v>
                </c:pt>
                <c:pt idx="41">
                  <c:v>0.47322015224840713</c:v>
                </c:pt>
                <c:pt idx="42">
                  <c:v>0.46149463715644462</c:v>
                </c:pt>
                <c:pt idx="43">
                  <c:v>0.45423857875590906</c:v>
                </c:pt>
                <c:pt idx="44">
                  <c:v>0.44905998602922409</c:v>
                </c:pt>
                <c:pt idx="45">
                  <c:v>0.44506820747235154</c:v>
                </c:pt>
                <c:pt idx="46">
                  <c:v>0.44200072394928963</c:v>
                </c:pt>
                <c:pt idx="47">
                  <c:v>0.43969260733535526</c:v>
                </c:pt>
                <c:pt idx="48">
                  <c:v>0.43797249614546524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v>p'D5</c:v>
          </c:tx>
          <c:spPr>
            <a:ln w="1905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'pD-p''D-TC'!$C$22:$C$121</c:f>
              <c:numCache>
                <c:formatCode>General</c:formatCode>
                <c:ptCount val="100"/>
                <c:pt idx="0">
                  <c:v>0.01</c:v>
                </c:pt>
                <c:pt idx="1">
                  <c:v>1.3257113655901091E-2</c:v>
                </c:pt>
                <c:pt idx="2">
                  <c:v>1.7575106248547922E-2</c:v>
                </c:pt>
                <c:pt idx="3">
                  <c:v>2.3299518105153724E-2</c:v>
                </c:pt>
                <c:pt idx="4">
                  <c:v>3.0888435964774818E-2</c:v>
                </c:pt>
                <c:pt idx="5">
                  <c:v>4.0949150623804262E-2</c:v>
                </c:pt>
                <c:pt idx="6">
                  <c:v>5.4286754393238615E-2</c:v>
                </c:pt>
                <c:pt idx="7">
                  <c:v>7.1968567300115222E-2</c:v>
                </c:pt>
                <c:pt idx="8">
                  <c:v>9.5409547634999425E-2</c:v>
                </c:pt>
                <c:pt idx="9">
                  <c:v>0.12648552168552965</c:v>
                </c:pt>
                <c:pt idx="10">
                  <c:v>0.16768329368110088</c:v>
                </c:pt>
                <c:pt idx="11">
                  <c:v>0.22229964825261958</c:v>
                </c:pt>
                <c:pt idx="12">
                  <c:v>0.29470517025518123</c:v>
                </c:pt>
                <c:pt idx="13">
                  <c:v>0.39069399370546193</c:v>
                </c:pt>
                <c:pt idx="14">
                  <c:v>0.51794746792312141</c:v>
                </c:pt>
                <c:pt idx="15">
                  <c:v>0.68664884500430057</c:v>
                </c:pt>
                <c:pt idx="16">
                  <c:v>0.91029817799152246</c:v>
                </c:pt>
                <c:pt idx="17">
                  <c:v>1.2067926406393295</c:v>
                </c:pt>
                <c:pt idx="18">
                  <c:v>1.5998587196060594</c:v>
                </c:pt>
                <c:pt idx="19">
                  <c:v>2.1209508879201926</c:v>
                </c:pt>
                <c:pt idx="20">
                  <c:v>2.8117686979742329</c:v>
                </c:pt>
                <c:pt idx="21">
                  <c:v>3.7275937203149434</c:v>
                </c:pt>
                <c:pt idx="22">
                  <c:v>4.9417133613238393</c:v>
                </c:pt>
                <c:pt idx="23">
                  <c:v>6.5512855685955156</c:v>
                </c:pt>
                <c:pt idx="24">
                  <c:v>8.6851137375135359</c:v>
                </c:pt>
                <c:pt idx="25">
                  <c:v>11.513953993264487</c:v>
                </c:pt>
                <c:pt idx="26">
                  <c:v>15.264179671752354</c:v>
                </c:pt>
                <c:pt idx="27">
                  <c:v>20.235896477251597</c:v>
                </c:pt>
                <c:pt idx="28">
                  <c:v>26.826957952797294</c:v>
                </c:pt>
                <c:pt idx="29">
                  <c:v>35.564803062231341</c:v>
                </c:pt>
                <c:pt idx="30">
                  <c:v>47.148663634574007</c:v>
                </c:pt>
                <c:pt idx="31">
                  <c:v>62.505519252739823</c:v>
                </c:pt>
                <c:pt idx="32">
                  <c:v>82.864277285468575</c:v>
                </c:pt>
                <c:pt idx="33">
                  <c:v>109.85411419875601</c:v>
                </c:pt>
                <c:pt idx="34">
                  <c:v>145.63484775012464</c:v>
                </c:pt>
                <c:pt idx="35">
                  <c:v>193.06977288832536</c:v>
                </c:pt>
                <c:pt idx="36">
                  <c:v>255.95479226995405</c:v>
                </c:pt>
                <c:pt idx="37">
                  <c:v>339.32217718953353</c:v>
                </c:pt>
                <c:pt idx="38">
                  <c:v>449.84326689694547</c:v>
                </c:pt>
                <c:pt idx="39">
                  <c:v>596.36233165946555</c:v>
                </c:pt>
                <c:pt idx="40">
                  <c:v>790.60432109077169</c:v>
                </c:pt>
                <c:pt idx="41">
                  <c:v>1048.1131341546882</c:v>
                </c:pt>
                <c:pt idx="42">
                  <c:v>1389.4954943731409</c:v>
                </c:pt>
                <c:pt idx="43">
                  <c:v>1842.0699693267204</c:v>
                </c:pt>
                <c:pt idx="44">
                  <c:v>2442.0530945486571</c:v>
                </c:pt>
                <c:pt idx="45">
                  <c:v>3237.4575428176522</c:v>
                </c:pt>
                <c:pt idx="46">
                  <c:v>4291.934260128789</c:v>
                </c:pt>
                <c:pt idx="47">
                  <c:v>5689.8660290183116</c:v>
                </c:pt>
                <c:pt idx="48">
                  <c:v>7543.1200633546378</c:v>
                </c:pt>
                <c:pt idx="49">
                  <c:v>10000.000000000027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'pD-p''D-TC'!$M$22:$M$121</c:f>
              <c:numCache>
                <c:formatCode>General</c:formatCode>
                <c:ptCount val="100"/>
                <c:pt idx="0">
                  <c:v>9.998267983575752E-3</c:v>
                </c:pt>
                <c:pt idx="1">
                  <c:v>1.3254071996818547E-2</c:v>
                </c:pt>
                <c:pt idx="2">
                  <c:v>1.756976648676143E-2</c:v>
                </c:pt>
                <c:pt idx="3">
                  <c:v>2.3290146329099648E-2</c:v>
                </c:pt>
                <c:pt idx="4">
                  <c:v>3.087199096051578E-2</c:v>
                </c:pt>
                <c:pt idx="5">
                  <c:v>4.0920298528000505E-2</c:v>
                </c:pt>
                <c:pt idx="6">
                  <c:v>5.4236141261534795E-2</c:v>
                </c:pt>
                <c:pt idx="7">
                  <c:v>7.1879790489292883E-2</c:v>
                </c:pt>
                <c:pt idx="8">
                  <c:v>9.5253847303852376E-2</c:v>
                </c:pt>
                <c:pt idx="9">
                  <c:v>0.12621247750713058</c:v>
                </c:pt>
                <c:pt idx="10">
                  <c:v>0.16720452536818672</c:v>
                </c:pt>
                <c:pt idx="11">
                  <c:v>0.22146026824867004</c:v>
                </c:pt>
                <c:pt idx="12">
                  <c:v>0.29323380870344595</c:v>
                </c:pt>
                <c:pt idx="13">
                  <c:v>0.38811536571525168</c:v>
                </c:pt>
                <c:pt idx="14">
                  <c:v>0.51342953114463918</c:v>
                </c:pt>
                <c:pt idx="15">
                  <c:v>0.67873590131653927</c:v>
                </c:pt>
                <c:pt idx="16">
                  <c:v>0.89644547240199768</c:v>
                </c:pt>
                <c:pt idx="17">
                  <c:v>1.1825563553966862</c:v>
                </c:pt>
                <c:pt idx="18">
                  <c:v>1.5574897309161602</c:v>
                </c:pt>
                <c:pt idx="19">
                  <c:v>2.0469615244161439</c:v>
                </c:pt>
                <c:pt idx="20">
                  <c:v>2.6827410346561997</c:v>
                </c:pt>
                <c:pt idx="21">
                  <c:v>3.5030009432581601</c:v>
                </c:pt>
                <c:pt idx="22">
                  <c:v>4.551721765327656</c:v>
                </c:pt>
                <c:pt idx="23">
                  <c:v>5.8762434312673122</c:v>
                </c:pt>
                <c:pt idx="24">
                  <c:v>7.5215423890256261</c:v>
                </c:pt>
                <c:pt idx="25">
                  <c:v>9.5192152406167683</c:v>
                </c:pt>
                <c:pt idx="26">
                  <c:v>11.868730590710081</c:v>
                </c:pt>
                <c:pt idx="27">
                  <c:v>14.508946515139257</c:v>
                </c:pt>
                <c:pt idx="28">
                  <c:v>17.280543215929178</c:v>
                </c:pt>
                <c:pt idx="29">
                  <c:v>19.886984166694617</c:v>
                </c:pt>
                <c:pt idx="30">
                  <c:v>21.874841747885988</c:v>
                </c:pt>
                <c:pt idx="31">
                  <c:v>22.672472464188289</c:v>
                </c:pt>
                <c:pt idx="32">
                  <c:v>21.737157334673906</c:v>
                </c:pt>
                <c:pt idx="33">
                  <c:v>18.831172229220172</c:v>
                </c:pt>
                <c:pt idx="34">
                  <c:v>14.329074451155005</c:v>
                </c:pt>
                <c:pt idx="35">
                  <c:v>9.2829447592443231</c:v>
                </c:pt>
                <c:pt idx="36">
                  <c:v>4.9883228315917965</c:v>
                </c:pt>
                <c:pt idx="37">
                  <c:v>2.2461024160485605</c:v>
                </c:pt>
                <c:pt idx="38">
                  <c:v>0.98643502569607844</c:v>
                </c:pt>
                <c:pt idx="39">
                  <c:v>0.60171255265636248</c:v>
                </c:pt>
                <c:pt idx="40">
                  <c:v>0.53027118618723412</c:v>
                </c:pt>
                <c:pt idx="41">
                  <c:v>0.51020090608512048</c:v>
                </c:pt>
                <c:pt idx="42">
                  <c:v>0.4874038630541202</c:v>
                </c:pt>
                <c:pt idx="43">
                  <c:v>0.46797413520289355</c:v>
                </c:pt>
                <c:pt idx="44">
                  <c:v>0.45611966298099915</c:v>
                </c:pt>
                <c:pt idx="45">
                  <c:v>0.44959192763641481</c:v>
                </c:pt>
                <c:pt idx="46">
                  <c:v>0.44556937177580819</c:v>
                </c:pt>
                <c:pt idx="47">
                  <c:v>0.44263661204439458</c:v>
                </c:pt>
                <c:pt idx="48">
                  <c:v>0.4403304779824555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508144"/>
        <c:axId val="386515592"/>
      </c:scatterChart>
      <c:valAx>
        <c:axId val="386508144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</a:t>
                </a:r>
                <a:r>
                  <a:rPr lang="en-US" baseline="-25000"/>
                  <a:t>D</a:t>
                </a:r>
                <a:r>
                  <a:rPr lang="en-US"/>
                  <a:t>/C</a:t>
                </a:r>
                <a:r>
                  <a:rPr lang="en-US" baseline="-25000"/>
                  <a:t>D</a:t>
                </a:r>
              </a:p>
            </c:rich>
          </c:tx>
          <c:layout>
            <c:manualLayout>
              <c:xMode val="edge"/>
              <c:yMode val="edge"/>
              <c:x val="0.5027151042453043"/>
              <c:y val="0.847662353913831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86515592"/>
        <c:crossesAt val="1.0000000000000002E-3"/>
        <c:crossBetween val="midCat"/>
      </c:valAx>
      <c:valAx>
        <c:axId val="386515592"/>
        <c:scaling>
          <c:logBase val="10"/>
          <c:orientation val="minMax"/>
        </c:scaling>
        <c:delete val="0"/>
        <c:axPos val="l"/>
        <c:min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</a:t>
                </a:r>
                <a:r>
                  <a:rPr lang="en-US" baseline="-25000"/>
                  <a:t>D</a:t>
                </a:r>
              </a:p>
            </c:rich>
          </c:tx>
          <c:layout>
            <c:manualLayout>
              <c:xMode val="edge"/>
              <c:yMode val="edge"/>
              <c:x val="5.7142857142857143E-3"/>
              <c:y val="0.46550984036411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86508144"/>
        <c:crossesAt val="1.0000000000000002E-3"/>
        <c:crossBetween val="midCat"/>
      </c:valAx>
    </c:plotArea>
    <c:legend>
      <c:legendPos val="b"/>
      <c:layout>
        <c:manualLayout>
          <c:xMode val="edge"/>
          <c:yMode val="edge"/>
          <c:x val="0.27445908935270413"/>
          <c:y val="0.93259981862123198"/>
          <c:w val="0.50358887611381697"/>
          <c:h val="6.7400711673738123E-2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6" fmlaLink="$C$10" inc="2" max="60" min="2" page="10" val="8"/>
</file>

<file path=xl/ctrlProps/ctrlProp2.xml><?xml version="1.0" encoding="utf-8"?>
<formControlPr xmlns="http://schemas.microsoft.com/office/spreadsheetml/2009/9/main" objectType="Spin" dx="16" fmlaLink="$C$13" inc="5" max="100" page="10" val="50"/>
</file>

<file path=xl/ctrlProps/ctrlProp3.xml><?xml version="1.0" encoding="utf-8"?>
<formControlPr xmlns="http://schemas.microsoft.com/office/spreadsheetml/2009/9/main" objectType="Spin" dx="16" fmlaLink="$C$16" inc="5" max="100" page="10" val="50"/>
</file>

<file path=xl/ctrlProps/ctrlProp4.xml><?xml version="1.0" encoding="utf-8"?>
<formControlPr xmlns="http://schemas.microsoft.com/office/spreadsheetml/2009/9/main" objectType="Spin" dx="16" fmlaLink="$C$9" inc="2" max="60" min="2" page="10" val="12"/>
</file>

<file path=xl/ctrlProps/ctrlProp5.xml><?xml version="1.0" encoding="utf-8"?>
<formControlPr xmlns="http://schemas.microsoft.com/office/spreadsheetml/2009/9/main" objectType="Spin" dx="16" fmlaLink="$C$10" inc="2" max="60" min="2" page="10" val="8"/>
</file>

<file path=xl/ctrlProps/ctrlProp6.xml><?xml version="1.0" encoding="utf-8"?>
<formControlPr xmlns="http://schemas.microsoft.com/office/spreadsheetml/2009/9/main" objectType="Spin" dx="16" fmlaLink="$C$11" inc="2" max="60" min="2" page="10" val="8"/>
</file>

<file path=xl/ctrlProps/ctrlProp7.xml><?xml version="1.0" encoding="utf-8"?>
<formControlPr xmlns="http://schemas.microsoft.com/office/spreadsheetml/2009/9/main" objectType="Spin" dx="16" fmlaLink="$C$12" inc="2" max="60" min="2" page="10" val="8"/>
</file>

<file path=xl/ctrlProps/ctrlProp8.xml><?xml version="1.0" encoding="utf-8"?>
<formControlPr xmlns="http://schemas.microsoft.com/office/spreadsheetml/2009/9/main" objectType="Spin" dx="16" fmlaLink="$C$13" inc="2" max="60" min="2" page="10" val="8"/>
</file>

<file path=xl/ctrlProps/ctrlProp9.xml><?xml version="1.0" encoding="utf-8"?>
<formControlPr xmlns="http://schemas.microsoft.com/office/spreadsheetml/2009/9/main" objectType="Spin" dx="16" fmlaLink="$F$9" inc="2" max="62" page="10" val="22"/>
</file>

<file path=xl/ctrlProps/ctrlProp10.xml><?xml version="1.0" encoding="utf-8"?>
<formControlPr xmlns="http://schemas.microsoft.com/office/spreadsheetml/2009/9/main" objectType="Spin" dx="16" fmlaLink="$C$9" inc="2" max="60" min="2" page="10" val="12"/>
</file>

<file path=xl/ctrlProps/ctrlProp11.xml><?xml version="1.0" encoding="utf-8"?>
<formControlPr xmlns="http://schemas.microsoft.com/office/spreadsheetml/2009/9/main" objectType="Spin" dx="16" fmlaLink="$C$9" inc="2" max="60" min="2" page="10" val="12"/>
</file>

<file path=xl/ctrlProps/ctrlProp12.xml><?xml version="1.0" encoding="utf-8"?>
<formControlPr xmlns="http://schemas.microsoft.com/office/spreadsheetml/2009/9/main" objectType="Spin" dx="16" fmlaLink="$C$9" inc="2" max="60" min="2" page="10" val="12"/>
</file>

<file path=xl/ctrlProps/ctrlProp13.xml><?xml version="1.0" encoding="utf-8"?>
<formControlPr xmlns="http://schemas.microsoft.com/office/spreadsheetml/2009/9/main" objectType="Spin" dx="16" fmlaLink="$C$9" inc="2" max="60" min="2" page="10" val="12"/>
</file>

<file path=xl/ctrlProps/ctrlProp14.xml><?xml version="1.0" encoding="utf-8"?>
<formControlPr xmlns="http://schemas.microsoft.com/office/spreadsheetml/2009/9/main" objectType="Spin" dx="16" fmlaLink="$F$10" inc="2" max="62" page="10" val="6"/>
</file>

<file path=xl/ctrlProps/ctrlProp15.xml><?xml version="1.0" encoding="utf-8"?>
<formControlPr xmlns="http://schemas.microsoft.com/office/spreadsheetml/2009/9/main" objectType="Spin" dx="16" fmlaLink="$F$11" inc="2" max="62" page="10" val="20"/>
</file>

<file path=xl/ctrlProps/ctrlProp16.xml><?xml version="1.0" encoding="utf-8"?>
<formControlPr xmlns="http://schemas.microsoft.com/office/spreadsheetml/2009/9/main" objectType="Spin" dx="16" fmlaLink="$F$12" inc="2" max="62" page="10" val="18"/>
</file>

<file path=xl/ctrlProps/ctrlProp17.xml><?xml version="1.0" encoding="utf-8"?>
<formControlPr xmlns="http://schemas.microsoft.com/office/spreadsheetml/2009/9/main" objectType="Spin" dx="16" fmlaLink="$F$13" inc="2" max="62" page="10" val="12"/>
</file>

<file path=xl/ctrlProps/ctrlProp18.xml><?xml version="1.0" encoding="utf-8"?>
<formControlPr xmlns="http://schemas.microsoft.com/office/spreadsheetml/2009/9/main" objectType="Spin" dx="16" fmlaLink="$C$16" inc="5" max="100" page="10" val="50"/>
</file>

<file path=xl/ctrlProps/ctrlProp19.xml><?xml version="1.0" encoding="utf-8"?>
<formControlPr xmlns="http://schemas.microsoft.com/office/spreadsheetml/2009/9/main" objectType="Spin" dx="16" fmlaLink="$C$9" inc="2" max="60" min="2" page="10" val="8"/>
</file>

<file path=xl/ctrlProps/ctrlProp20.xml><?xml version="1.0" encoding="utf-8"?>
<formControlPr xmlns="http://schemas.microsoft.com/office/spreadsheetml/2009/9/main" objectType="Spin" dx="16" fmlaLink="$C$10" inc="2" max="60" min="2" page="10" val="10"/>
</file>

<file path=xl/ctrlProps/ctrlProp21.xml><?xml version="1.0" encoding="utf-8"?>
<formControlPr xmlns="http://schemas.microsoft.com/office/spreadsheetml/2009/9/main" objectType="Spin" dx="16" fmlaLink="$C$11" inc="2" max="60" min="2" page="10" val="12"/>
</file>

<file path=xl/ctrlProps/ctrlProp22.xml><?xml version="1.0" encoding="utf-8"?>
<formControlPr xmlns="http://schemas.microsoft.com/office/spreadsheetml/2009/9/main" objectType="Spin" dx="16" fmlaLink="$C$12" inc="2" max="60" min="2" page="10" val="14"/>
</file>

<file path=xl/ctrlProps/ctrlProp23.xml><?xml version="1.0" encoding="utf-8"?>
<formControlPr xmlns="http://schemas.microsoft.com/office/spreadsheetml/2009/9/main" objectType="Spin" dx="16" fmlaLink="$C$13" inc="2" max="60" min="2" page="10" val="12"/>
</file>

<file path=xl/ctrlProps/ctrlProp24.xml><?xml version="1.0" encoding="utf-8"?>
<formControlPr xmlns="http://schemas.microsoft.com/office/spreadsheetml/2009/9/main" objectType="Spin" dx="16" fmlaLink="$F$9" inc="2" max="62" page="10" val="10"/>
</file>

<file path=xl/ctrlProps/ctrlProp25.xml><?xml version="1.0" encoding="utf-8"?>
<formControlPr xmlns="http://schemas.microsoft.com/office/spreadsheetml/2009/9/main" objectType="Spin" dx="16" fmlaLink="$C$9" inc="2" max="60" min="2" page="10" val="8"/>
</file>

<file path=xl/ctrlProps/ctrlProp26.xml><?xml version="1.0" encoding="utf-8"?>
<formControlPr xmlns="http://schemas.microsoft.com/office/spreadsheetml/2009/9/main" objectType="Spin" dx="16" fmlaLink="$C$9" inc="2" max="60" min="2" page="10" val="8"/>
</file>

<file path=xl/ctrlProps/ctrlProp27.xml><?xml version="1.0" encoding="utf-8"?>
<formControlPr xmlns="http://schemas.microsoft.com/office/spreadsheetml/2009/9/main" objectType="Spin" dx="16" fmlaLink="$C$9" inc="2" max="60" min="2" page="10" val="8"/>
</file>

<file path=xl/ctrlProps/ctrlProp28.xml><?xml version="1.0" encoding="utf-8"?>
<formControlPr xmlns="http://schemas.microsoft.com/office/spreadsheetml/2009/9/main" objectType="Spin" dx="16" fmlaLink="$C$9" inc="2" max="60" min="2" page="10" val="8"/>
</file>

<file path=xl/ctrlProps/ctrlProp29.xml><?xml version="1.0" encoding="utf-8"?>
<formControlPr xmlns="http://schemas.microsoft.com/office/spreadsheetml/2009/9/main" objectType="Spin" dx="16" fmlaLink="$F$10" inc="2" max="62" page="10" val="6"/>
</file>

<file path=xl/ctrlProps/ctrlProp30.xml><?xml version="1.0" encoding="utf-8"?>
<formControlPr xmlns="http://schemas.microsoft.com/office/spreadsheetml/2009/9/main" objectType="Spin" dx="16" fmlaLink="$F$11" inc="2" max="62" page="10" val="22"/>
</file>

<file path=xl/ctrlProps/ctrlProp31.xml><?xml version="1.0" encoding="utf-8"?>
<formControlPr xmlns="http://schemas.microsoft.com/office/spreadsheetml/2009/9/main" objectType="Spin" dx="16" fmlaLink="$F$12" inc="2" max="62" page="10" val="42"/>
</file>

<file path=xl/ctrlProps/ctrlProp32.xml><?xml version="1.0" encoding="utf-8"?>
<formControlPr xmlns="http://schemas.microsoft.com/office/spreadsheetml/2009/9/main" objectType="Spin" dx="16" fmlaLink="$F$13" inc="2" max="62" page="10" val="6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5</xdr:row>
      <xdr:rowOff>47625</xdr:rowOff>
    </xdr:from>
    <xdr:to>
      <xdr:col>15</xdr:col>
      <xdr:colOff>600075</xdr:colOff>
      <xdr:row>27</xdr:row>
      <xdr:rowOff>85726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9</xdr:row>
          <xdr:rowOff>9525</xdr:rowOff>
        </xdr:from>
        <xdr:to>
          <xdr:col>3</xdr:col>
          <xdr:colOff>247650</xdr:colOff>
          <xdr:row>9</xdr:row>
          <xdr:rowOff>390525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9525</xdr:rowOff>
        </xdr:from>
        <xdr:to>
          <xdr:col>3</xdr:col>
          <xdr:colOff>247650</xdr:colOff>
          <xdr:row>13</xdr:row>
          <xdr:rowOff>0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257177</xdr:colOff>
      <xdr:row>4</xdr:row>
      <xdr:rowOff>181209</xdr:rowOff>
    </xdr:from>
    <xdr:to>
      <xdr:col>15</xdr:col>
      <xdr:colOff>666751</xdr:colOff>
      <xdr:row>18</xdr:row>
      <xdr:rowOff>190733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0</xdr:rowOff>
        </xdr:from>
        <xdr:to>
          <xdr:col>3</xdr:col>
          <xdr:colOff>247650</xdr:colOff>
          <xdr:row>15</xdr:row>
          <xdr:rowOff>180975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9525</xdr:rowOff>
        </xdr:from>
        <xdr:to>
          <xdr:col>3</xdr:col>
          <xdr:colOff>133350</xdr:colOff>
          <xdr:row>8</xdr:row>
          <xdr:rowOff>304800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142875</xdr:colOff>
          <xdr:row>9</xdr:row>
          <xdr:rowOff>314325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9525</xdr:rowOff>
        </xdr:from>
        <xdr:to>
          <xdr:col>3</xdr:col>
          <xdr:colOff>133350</xdr:colOff>
          <xdr:row>10</xdr:row>
          <xdr:rowOff>304800</xdr:rowOff>
        </xdr:to>
        <xdr:sp macro="" textlink="">
          <xdr:nvSpPr>
            <xdr:cNvPr id="5130" name="Spinner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9525</xdr:rowOff>
        </xdr:from>
        <xdr:to>
          <xdr:col>3</xdr:col>
          <xdr:colOff>133350</xdr:colOff>
          <xdr:row>11</xdr:row>
          <xdr:rowOff>304800</xdr:rowOff>
        </xdr:to>
        <xdr:sp macro="" textlink="">
          <xdr:nvSpPr>
            <xdr:cNvPr id="5131" name="Spinner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9525</xdr:rowOff>
        </xdr:from>
        <xdr:to>
          <xdr:col>3</xdr:col>
          <xdr:colOff>133350</xdr:colOff>
          <xdr:row>12</xdr:row>
          <xdr:rowOff>304800</xdr:rowOff>
        </xdr:to>
        <xdr:sp macro="" textlink="">
          <xdr:nvSpPr>
            <xdr:cNvPr id="5132" name="Spinner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8</xdr:row>
          <xdr:rowOff>9525</xdr:rowOff>
        </xdr:from>
        <xdr:to>
          <xdr:col>4</xdr:col>
          <xdr:colOff>904875</xdr:colOff>
          <xdr:row>8</xdr:row>
          <xdr:rowOff>304800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9</xdr:row>
          <xdr:rowOff>19050</xdr:rowOff>
        </xdr:from>
        <xdr:to>
          <xdr:col>4</xdr:col>
          <xdr:colOff>904875</xdr:colOff>
          <xdr:row>10</xdr:row>
          <xdr:rowOff>0</xdr:rowOff>
        </xdr:to>
        <xdr:sp macro="" textlink="">
          <xdr:nvSpPr>
            <xdr:cNvPr id="5134" name="Spinner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10</xdr:row>
          <xdr:rowOff>19050</xdr:rowOff>
        </xdr:from>
        <xdr:to>
          <xdr:col>4</xdr:col>
          <xdr:colOff>904875</xdr:colOff>
          <xdr:row>11</xdr:row>
          <xdr:rowOff>0</xdr:rowOff>
        </xdr:to>
        <xdr:sp macro="" textlink="">
          <xdr:nvSpPr>
            <xdr:cNvPr id="5135" name="Spinner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11</xdr:row>
          <xdr:rowOff>19050</xdr:rowOff>
        </xdr:from>
        <xdr:to>
          <xdr:col>4</xdr:col>
          <xdr:colOff>904875</xdr:colOff>
          <xdr:row>12</xdr:row>
          <xdr:rowOff>0</xdr:rowOff>
        </xdr:to>
        <xdr:sp macro="" textlink="">
          <xdr:nvSpPr>
            <xdr:cNvPr id="5136" name="Spinner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12</xdr:row>
          <xdr:rowOff>19050</xdr:rowOff>
        </xdr:from>
        <xdr:to>
          <xdr:col>4</xdr:col>
          <xdr:colOff>904875</xdr:colOff>
          <xdr:row>13</xdr:row>
          <xdr:rowOff>0</xdr:rowOff>
        </xdr:to>
        <xdr:sp macro="" textlink="">
          <xdr:nvSpPr>
            <xdr:cNvPr id="5137" name="Spinner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9</xdr:row>
          <xdr:rowOff>9525</xdr:rowOff>
        </xdr:from>
        <xdr:to>
          <xdr:col>4</xdr:col>
          <xdr:colOff>904875</xdr:colOff>
          <xdr:row>9</xdr:row>
          <xdr:rowOff>304800</xdr:rowOff>
        </xdr:to>
        <xdr:sp macro="" textlink="">
          <xdr:nvSpPr>
            <xdr:cNvPr id="5142" name="Spinner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10</xdr:row>
          <xdr:rowOff>9525</xdr:rowOff>
        </xdr:from>
        <xdr:to>
          <xdr:col>4</xdr:col>
          <xdr:colOff>904875</xdr:colOff>
          <xdr:row>10</xdr:row>
          <xdr:rowOff>304800</xdr:rowOff>
        </xdr:to>
        <xdr:sp macro="" textlink="">
          <xdr:nvSpPr>
            <xdr:cNvPr id="5143" name="Spinner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11</xdr:row>
          <xdr:rowOff>9525</xdr:rowOff>
        </xdr:from>
        <xdr:to>
          <xdr:col>4</xdr:col>
          <xdr:colOff>904875</xdr:colOff>
          <xdr:row>11</xdr:row>
          <xdr:rowOff>304800</xdr:rowOff>
        </xdr:to>
        <xdr:sp macro="" textlink="">
          <xdr:nvSpPr>
            <xdr:cNvPr id="5144" name="Spinner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12</xdr:row>
          <xdr:rowOff>9525</xdr:rowOff>
        </xdr:from>
        <xdr:to>
          <xdr:col>4</xdr:col>
          <xdr:colOff>904875</xdr:colOff>
          <xdr:row>12</xdr:row>
          <xdr:rowOff>304800</xdr:rowOff>
        </xdr:to>
        <xdr:sp macro="" textlink="">
          <xdr:nvSpPr>
            <xdr:cNvPr id="5145" name="Spinner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225426</xdr:colOff>
      <xdr:row>3</xdr:row>
      <xdr:rowOff>38334</xdr:rowOff>
    </xdr:from>
    <xdr:to>
      <xdr:col>15</xdr:col>
      <xdr:colOff>666750</xdr:colOff>
      <xdr:row>19</xdr:row>
      <xdr:rowOff>55563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0</xdr:rowOff>
        </xdr:from>
        <xdr:to>
          <xdr:col>3</xdr:col>
          <xdr:colOff>247650</xdr:colOff>
          <xdr:row>15</xdr:row>
          <xdr:rowOff>180975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9525</xdr:rowOff>
        </xdr:from>
        <xdr:to>
          <xdr:col>3</xdr:col>
          <xdr:colOff>133350</xdr:colOff>
          <xdr:row>8</xdr:row>
          <xdr:rowOff>304800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142875</xdr:colOff>
          <xdr:row>9</xdr:row>
          <xdr:rowOff>314325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9525</xdr:rowOff>
        </xdr:from>
        <xdr:to>
          <xdr:col>3</xdr:col>
          <xdr:colOff>133350</xdr:colOff>
          <xdr:row>10</xdr:row>
          <xdr:rowOff>304800</xdr:rowOff>
        </xdr:to>
        <xdr:sp macro="" textlink="">
          <xdr:nvSpPr>
            <xdr:cNvPr id="8196" name="Spinner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9525</xdr:rowOff>
        </xdr:from>
        <xdr:to>
          <xdr:col>3</xdr:col>
          <xdr:colOff>133350</xdr:colOff>
          <xdr:row>11</xdr:row>
          <xdr:rowOff>304800</xdr:rowOff>
        </xdr:to>
        <xdr:sp macro="" textlink="">
          <xdr:nvSpPr>
            <xdr:cNvPr id="8197" name="Spinner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9525</xdr:rowOff>
        </xdr:from>
        <xdr:to>
          <xdr:col>3</xdr:col>
          <xdr:colOff>133350</xdr:colOff>
          <xdr:row>12</xdr:row>
          <xdr:rowOff>304800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8</xdr:row>
          <xdr:rowOff>9525</xdr:rowOff>
        </xdr:from>
        <xdr:to>
          <xdr:col>4</xdr:col>
          <xdr:colOff>904875</xdr:colOff>
          <xdr:row>8</xdr:row>
          <xdr:rowOff>304800</xdr:rowOff>
        </xdr:to>
        <xdr:sp macro="" textlink="">
          <xdr:nvSpPr>
            <xdr:cNvPr id="8199" name="Spinner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9</xdr:row>
          <xdr:rowOff>19050</xdr:rowOff>
        </xdr:from>
        <xdr:to>
          <xdr:col>4</xdr:col>
          <xdr:colOff>904875</xdr:colOff>
          <xdr:row>10</xdr:row>
          <xdr:rowOff>0</xdr:rowOff>
        </xdr:to>
        <xdr:sp macro="" textlink="">
          <xdr:nvSpPr>
            <xdr:cNvPr id="8200" name="Spinner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10</xdr:row>
          <xdr:rowOff>19050</xdr:rowOff>
        </xdr:from>
        <xdr:to>
          <xdr:col>4</xdr:col>
          <xdr:colOff>904875</xdr:colOff>
          <xdr:row>11</xdr:row>
          <xdr:rowOff>0</xdr:rowOff>
        </xdr:to>
        <xdr:sp macro="" textlink="">
          <xdr:nvSpPr>
            <xdr:cNvPr id="8201" name="Spinner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11</xdr:row>
          <xdr:rowOff>19050</xdr:rowOff>
        </xdr:from>
        <xdr:to>
          <xdr:col>4</xdr:col>
          <xdr:colOff>904875</xdr:colOff>
          <xdr:row>12</xdr:row>
          <xdr:rowOff>0</xdr:rowOff>
        </xdr:to>
        <xdr:sp macro="" textlink="">
          <xdr:nvSpPr>
            <xdr:cNvPr id="8202" name="Spinner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12</xdr:row>
          <xdr:rowOff>19050</xdr:rowOff>
        </xdr:from>
        <xdr:to>
          <xdr:col>4</xdr:col>
          <xdr:colOff>904875</xdr:colOff>
          <xdr:row>13</xdr:row>
          <xdr:rowOff>0</xdr:rowOff>
        </xdr:to>
        <xdr:sp macro="" textlink="">
          <xdr:nvSpPr>
            <xdr:cNvPr id="8203" name="Spinner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9</xdr:row>
          <xdr:rowOff>9525</xdr:rowOff>
        </xdr:from>
        <xdr:to>
          <xdr:col>4</xdr:col>
          <xdr:colOff>904875</xdr:colOff>
          <xdr:row>9</xdr:row>
          <xdr:rowOff>304800</xdr:rowOff>
        </xdr:to>
        <xdr:sp macro="" textlink="">
          <xdr:nvSpPr>
            <xdr:cNvPr id="8204" name="Spinner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10</xdr:row>
          <xdr:rowOff>9525</xdr:rowOff>
        </xdr:from>
        <xdr:to>
          <xdr:col>4</xdr:col>
          <xdr:colOff>904875</xdr:colOff>
          <xdr:row>10</xdr:row>
          <xdr:rowOff>304800</xdr:rowOff>
        </xdr:to>
        <xdr:sp macro="" textlink="">
          <xdr:nvSpPr>
            <xdr:cNvPr id="8205" name="Spinner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11</xdr:row>
          <xdr:rowOff>9525</xdr:rowOff>
        </xdr:from>
        <xdr:to>
          <xdr:col>4</xdr:col>
          <xdr:colOff>904875</xdr:colOff>
          <xdr:row>11</xdr:row>
          <xdr:rowOff>304800</xdr:rowOff>
        </xdr:to>
        <xdr:sp macro="" textlink="">
          <xdr:nvSpPr>
            <xdr:cNvPr id="8206" name="Spinner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12</xdr:row>
          <xdr:rowOff>9525</xdr:rowOff>
        </xdr:from>
        <xdr:to>
          <xdr:col>4</xdr:col>
          <xdr:colOff>904875</xdr:colOff>
          <xdr:row>12</xdr:row>
          <xdr:rowOff>304800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6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3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P121"/>
  <sheetViews>
    <sheetView showGridLines="0" workbookViewId="0">
      <selection activeCell="D3" sqref="D3:M3"/>
    </sheetView>
  </sheetViews>
  <sheetFormatPr defaultColWidth="9.140625" defaultRowHeight="15" x14ac:dyDescent="0.25"/>
  <cols>
    <col min="1" max="1" width="2.42578125" customWidth="1"/>
    <col min="2" max="2" width="13.85546875" customWidth="1"/>
    <col min="3" max="3" width="9.140625" customWidth="1"/>
    <col min="4" max="5" width="13.7109375" bestFit="1" customWidth="1"/>
    <col min="6" max="16" width="9.140625" customWidth="1"/>
  </cols>
  <sheetData>
    <row r="1" spans="2:16" ht="15" customHeight="1" x14ac:dyDescent="0.25">
      <c r="B1" s="43" t="s">
        <v>31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2:16" ht="15" customHeight="1" x14ac:dyDescent="0.25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2:16" x14ac:dyDescent="0.25">
      <c r="B3" s="25"/>
      <c r="C3" s="25"/>
      <c r="D3" s="44" t="s">
        <v>32</v>
      </c>
      <c r="E3" s="44"/>
      <c r="F3" s="44"/>
      <c r="G3" s="44"/>
      <c r="H3" s="44"/>
      <c r="I3" s="44"/>
      <c r="J3" s="44"/>
      <c r="K3" s="44"/>
      <c r="L3" s="44"/>
      <c r="M3" s="44"/>
      <c r="N3" s="25"/>
      <c r="O3" s="25"/>
      <c r="P3" s="25"/>
    </row>
    <row r="4" spans="2:16" ht="15" customHeight="1" thickBot="1" x14ac:dyDescent="0.3"/>
    <row r="5" spans="2:16" x14ac:dyDescent="0.25">
      <c r="B5" s="42" t="s">
        <v>4</v>
      </c>
      <c r="C5" s="35"/>
    </row>
    <row r="6" spans="2:16" x14ac:dyDescent="0.25">
      <c r="B6" s="23" t="s">
        <v>7</v>
      </c>
      <c r="C6" s="22">
        <v>-1</v>
      </c>
    </row>
    <row r="7" spans="2:16" x14ac:dyDescent="0.25">
      <c r="B7" s="23" t="s">
        <v>8</v>
      </c>
      <c r="C7" s="22">
        <v>4</v>
      </c>
    </row>
    <row r="8" spans="2:16" x14ac:dyDescent="0.25">
      <c r="B8" s="23" t="s">
        <v>1</v>
      </c>
      <c r="C8" s="22">
        <v>1</v>
      </c>
    </row>
    <row r="9" spans="2:16" x14ac:dyDescent="0.25">
      <c r="B9" s="23" t="s">
        <v>23</v>
      </c>
      <c r="C9" s="22">
        <v>10000</v>
      </c>
    </row>
    <row r="10" spans="2:16" ht="31.5" customHeight="1" thickBot="1" x14ac:dyDescent="0.3">
      <c r="B10" s="31" t="s">
        <v>6</v>
      </c>
      <c r="C10" s="32">
        <v>8</v>
      </c>
    </row>
    <row r="11" spans="2:16" ht="15.75" thickBot="1" x14ac:dyDescent="0.3"/>
    <row r="12" spans="2:16" x14ac:dyDescent="0.25">
      <c r="B12" s="45" t="s">
        <v>9</v>
      </c>
      <c r="C12" s="46"/>
    </row>
    <row r="13" spans="2:16" ht="15.75" thickBot="1" x14ac:dyDescent="0.3">
      <c r="B13" s="24" t="s">
        <v>10</v>
      </c>
      <c r="C13" s="7">
        <v>50</v>
      </c>
    </row>
    <row r="14" spans="2:16" x14ac:dyDescent="0.25">
      <c r="C14" s="1"/>
    </row>
    <row r="15" spans="2:16" ht="15.75" thickBot="1" x14ac:dyDescent="0.3">
      <c r="B15" s="1"/>
      <c r="C15" s="1"/>
    </row>
    <row r="16" spans="2:16" ht="15" customHeight="1" x14ac:dyDescent="0.25">
      <c r="B16" s="50" t="str">
        <f>"Range from "&amp;10^C6&amp;"  to "&amp;10^C7</f>
        <v>Range from 0.1  to 10000</v>
      </c>
      <c r="C16" s="51"/>
      <c r="D16" s="52"/>
    </row>
    <row r="17" spans="2:4" ht="15.75" thickBot="1" x14ac:dyDescent="0.3">
      <c r="B17" s="53"/>
      <c r="C17" s="54"/>
      <c r="D17" s="55"/>
    </row>
    <row r="19" spans="2:4" ht="15.75" thickBot="1" x14ac:dyDescent="0.3"/>
    <row r="20" spans="2:4" ht="15.75" thickBot="1" x14ac:dyDescent="0.3">
      <c r="B20" s="47" t="s">
        <v>5</v>
      </c>
      <c r="C20" s="48"/>
      <c r="D20" s="49"/>
    </row>
    <row r="21" spans="2:4" x14ac:dyDescent="0.25">
      <c r="B21" s="26" t="s">
        <v>11</v>
      </c>
      <c r="C21" s="27" t="s">
        <v>2</v>
      </c>
      <c r="D21" s="27" t="s">
        <v>3</v>
      </c>
    </row>
    <row r="22" spans="2:4" x14ac:dyDescent="0.25">
      <c r="B22" s="4">
        <v>1</v>
      </c>
      <c r="C22" s="28">
        <f>IF(B22&gt;0,10^C6,"")</f>
        <v>0.1</v>
      </c>
      <c r="D22" s="28">
        <f>IF(ISNUMBER(B22),pd($C$8,C22,$C$9,$C$10),"")</f>
        <v>9.8437774426842484E-2</v>
      </c>
    </row>
    <row r="23" spans="2:4" x14ac:dyDescent="0.25">
      <c r="B23" s="5">
        <f t="shared" ref="B23:B54" si="0">IF(ROW(B23)-22&lt;$C$13,ROW(B23)-21,"")</f>
        <v>2</v>
      </c>
      <c r="C23" s="29">
        <f t="shared" ref="C23:C54" si="1">IF(ISNUMBER(B23),C22*10^(($C$7-$C$6)/($C$13-1)),0)</f>
        <v>0.12648552168552962</v>
      </c>
      <c r="D23" s="29">
        <f t="shared" ref="D23:D86" si="2">IF(ISNUMBER(B23),pd($C$8,C23,$C$9,$C$10),"")</f>
        <v>0.12407709916930616</v>
      </c>
    </row>
    <row r="24" spans="2:4" x14ac:dyDescent="0.25">
      <c r="B24" s="4">
        <f t="shared" si="0"/>
        <v>3</v>
      </c>
      <c r="C24" s="28">
        <f t="shared" si="1"/>
        <v>0.15998587196060585</v>
      </c>
      <c r="D24" s="28">
        <f t="shared" si="2"/>
        <v>0.15627154574126109</v>
      </c>
    </row>
    <row r="25" spans="2:4" x14ac:dyDescent="0.25">
      <c r="B25" s="5">
        <f t="shared" si="0"/>
        <v>4</v>
      </c>
      <c r="C25" s="29">
        <f t="shared" si="1"/>
        <v>0.20235896477251578</v>
      </c>
      <c r="D25" s="29">
        <f t="shared" si="2"/>
        <v>0.19662947819405233</v>
      </c>
    </row>
    <row r="26" spans="2:4" x14ac:dyDescent="0.25">
      <c r="B26" s="4">
        <f t="shared" si="0"/>
        <v>5</v>
      </c>
      <c r="C26" s="28">
        <f t="shared" si="1"/>
        <v>0.25595479226995371</v>
      </c>
      <c r="D26" s="28">
        <f t="shared" si="2"/>
        <v>0.2471167654756285</v>
      </c>
    </row>
    <row r="27" spans="2:4" x14ac:dyDescent="0.25">
      <c r="B27" s="5">
        <f t="shared" si="0"/>
        <v>6</v>
      </c>
      <c r="C27" s="29">
        <f t="shared" si="1"/>
        <v>0.32374575428176461</v>
      </c>
      <c r="D27" s="29">
        <f t="shared" si="2"/>
        <v>0.31011570119649384</v>
      </c>
    </row>
    <row r="28" spans="2:4" x14ac:dyDescent="0.25">
      <c r="B28" s="4">
        <f t="shared" si="0"/>
        <v>7</v>
      </c>
      <c r="C28" s="28">
        <f t="shared" si="1"/>
        <v>0.40949150623804281</v>
      </c>
      <c r="D28" s="28">
        <f t="shared" si="2"/>
        <v>0.38848175233518556</v>
      </c>
    </row>
    <row r="29" spans="2:4" x14ac:dyDescent="0.25">
      <c r="B29" s="5">
        <f t="shared" si="0"/>
        <v>8</v>
      </c>
      <c r="C29" s="29">
        <f t="shared" si="1"/>
        <v>0.51794746792312152</v>
      </c>
      <c r="D29" s="29">
        <f t="shared" si="2"/>
        <v>0.48558954976896579</v>
      </c>
    </row>
    <row r="30" spans="2:4" x14ac:dyDescent="0.25">
      <c r="B30" s="4">
        <f t="shared" si="0"/>
        <v>9</v>
      </c>
      <c r="C30" s="28">
        <f t="shared" si="1"/>
        <v>0.6551285568595514</v>
      </c>
      <c r="D30" s="28">
        <f t="shared" si="2"/>
        <v>0.60535435083234446</v>
      </c>
    </row>
    <row r="31" spans="2:4" x14ac:dyDescent="0.25">
      <c r="B31" s="5">
        <f t="shared" si="0"/>
        <v>10</v>
      </c>
      <c r="C31" s="29">
        <f t="shared" si="1"/>
        <v>0.82864277285468513</v>
      </c>
      <c r="D31" s="29">
        <f t="shared" si="2"/>
        <v>0.75220817102292803</v>
      </c>
    </row>
    <row r="32" spans="2:4" x14ac:dyDescent="0.25">
      <c r="B32" s="4">
        <f t="shared" si="0"/>
        <v>11</v>
      </c>
      <c r="C32" s="28">
        <f t="shared" si="1"/>
        <v>1.0481131341546868</v>
      </c>
      <c r="D32" s="28">
        <f t="shared" si="2"/>
        <v>0.93100085800804155</v>
      </c>
    </row>
    <row r="33" spans="2:4" x14ac:dyDescent="0.25">
      <c r="B33" s="5">
        <f t="shared" si="0"/>
        <v>12</v>
      </c>
      <c r="C33" s="29">
        <f t="shared" si="1"/>
        <v>1.3257113655901105</v>
      </c>
      <c r="D33" s="29">
        <f t="shared" si="2"/>
        <v>1.1467861652737275</v>
      </c>
    </row>
    <row r="34" spans="2:4" x14ac:dyDescent="0.25">
      <c r="B34" s="4">
        <f t="shared" si="0"/>
        <v>13</v>
      </c>
      <c r="C34" s="28">
        <f t="shared" si="1"/>
        <v>1.6768329368110102</v>
      </c>
      <c r="D34" s="28">
        <f t="shared" si="2"/>
        <v>1.4044434340357093</v>
      </c>
    </row>
    <row r="35" spans="2:4" x14ac:dyDescent="0.25">
      <c r="B35" s="5">
        <f t="shared" si="0"/>
        <v>14</v>
      </c>
      <c r="C35" s="29">
        <f t="shared" si="1"/>
        <v>2.1209508879201935</v>
      </c>
      <c r="D35" s="29">
        <f t="shared" si="2"/>
        <v>1.7080819522281663</v>
      </c>
    </row>
    <row r="36" spans="2:4" x14ac:dyDescent="0.25">
      <c r="B36" s="4">
        <f t="shared" si="0"/>
        <v>15</v>
      </c>
      <c r="C36" s="28">
        <f t="shared" si="1"/>
        <v>2.6826957952797295</v>
      </c>
      <c r="D36" s="28">
        <f t="shared" si="2"/>
        <v>2.0601882861195309</v>
      </c>
    </row>
    <row r="37" spans="2:4" x14ac:dyDescent="0.25">
      <c r="B37" s="5">
        <f t="shared" si="0"/>
        <v>16</v>
      </c>
      <c r="C37" s="29">
        <f t="shared" si="1"/>
        <v>3.3932217718953335</v>
      </c>
      <c r="D37" s="29">
        <f t="shared" si="2"/>
        <v>2.460525849484108</v>
      </c>
    </row>
    <row r="38" spans="2:4" x14ac:dyDescent="0.25">
      <c r="B38" s="4">
        <f t="shared" si="0"/>
        <v>17</v>
      </c>
      <c r="C38" s="28">
        <f t="shared" si="1"/>
        <v>4.2919342601287847</v>
      </c>
      <c r="D38" s="28">
        <f t="shared" si="2"/>
        <v>2.9049047449799819</v>
      </c>
    </row>
    <row r="39" spans="2:4" x14ac:dyDescent="0.25">
      <c r="B39" s="5">
        <f t="shared" si="0"/>
        <v>18</v>
      </c>
      <c r="C39" s="29">
        <f t="shared" si="1"/>
        <v>5.428675439323869</v>
      </c>
      <c r="D39" s="29">
        <f t="shared" si="2"/>
        <v>3.3841189070181277</v>
      </c>
    </row>
    <row r="40" spans="2:4" x14ac:dyDescent="0.25">
      <c r="B40" s="4">
        <f t="shared" si="0"/>
        <v>19</v>
      </c>
      <c r="C40" s="28">
        <f t="shared" si="1"/>
        <v>6.866488450043013</v>
      </c>
      <c r="D40" s="28">
        <f t="shared" si="2"/>
        <v>3.8835525360461021</v>
      </c>
    </row>
    <row r="41" spans="2:4" x14ac:dyDescent="0.25">
      <c r="B41" s="5">
        <f t="shared" si="0"/>
        <v>20</v>
      </c>
      <c r="C41" s="29">
        <f t="shared" si="1"/>
        <v>8.6851137375135412</v>
      </c>
      <c r="D41" s="29">
        <f t="shared" si="2"/>
        <v>4.3840483637857242</v>
      </c>
    </row>
    <row r="42" spans="2:4" x14ac:dyDescent="0.25">
      <c r="B42" s="4">
        <f t="shared" si="0"/>
        <v>21</v>
      </c>
      <c r="C42" s="28">
        <f t="shared" si="1"/>
        <v>10.985411419875602</v>
      </c>
      <c r="D42" s="28">
        <f t="shared" si="2"/>
        <v>4.864398905250308</v>
      </c>
    </row>
    <row r="43" spans="2:4" x14ac:dyDescent="0.25">
      <c r="B43" s="5">
        <f t="shared" si="0"/>
        <v>22</v>
      </c>
      <c r="C43" s="29">
        <f t="shared" si="1"/>
        <v>13.894954943731403</v>
      </c>
      <c r="D43" s="29">
        <f t="shared" si="2"/>
        <v>5.3051639281991942</v>
      </c>
    </row>
    <row r="44" spans="2:4" x14ac:dyDescent="0.25">
      <c r="B44" s="4">
        <f t="shared" si="0"/>
        <v>23</v>
      </c>
      <c r="C44" s="28">
        <f t="shared" si="1"/>
        <v>17.575106248547954</v>
      </c>
      <c r="D44" s="28">
        <f t="shared" si="2"/>
        <v>5.6926683767567203</v>
      </c>
    </row>
    <row r="45" spans="2:4" x14ac:dyDescent="0.25">
      <c r="B45" s="5">
        <f t="shared" si="0"/>
        <v>24</v>
      </c>
      <c r="C45" s="29">
        <f t="shared" si="1"/>
        <v>22.229964825261995</v>
      </c>
      <c r="D45" s="29">
        <f t="shared" si="2"/>
        <v>6.0215861363603507</v>
      </c>
    </row>
    <row r="46" spans="2:4" x14ac:dyDescent="0.25">
      <c r="B46" s="4">
        <f t="shared" si="0"/>
        <v>25</v>
      </c>
      <c r="C46" s="28">
        <f t="shared" si="1"/>
        <v>28.117686979742366</v>
      </c>
      <c r="D46" s="28">
        <f t="shared" si="2"/>
        <v>6.2949816109159107</v>
      </c>
    </row>
    <row r="47" spans="2:4" x14ac:dyDescent="0.25">
      <c r="B47" s="5">
        <f t="shared" si="0"/>
        <v>26</v>
      </c>
      <c r="C47" s="29">
        <f t="shared" si="1"/>
        <v>35.56480306223137</v>
      </c>
      <c r="D47" s="29">
        <f t="shared" si="2"/>
        <v>6.5219192868451996</v>
      </c>
    </row>
    <row r="48" spans="2:4" x14ac:dyDescent="0.25">
      <c r="B48" s="4">
        <f t="shared" si="0"/>
        <v>27</v>
      </c>
      <c r="C48" s="28">
        <f t="shared" si="1"/>
        <v>44.984326689694562</v>
      </c>
      <c r="D48" s="28">
        <f t="shared" si="2"/>
        <v>6.7139235135210882</v>
      </c>
    </row>
    <row r="49" spans="2:4" x14ac:dyDescent="0.25">
      <c r="B49" s="5">
        <f t="shared" si="0"/>
        <v>28</v>
      </c>
      <c r="C49" s="29">
        <f t="shared" si="1"/>
        <v>56.898660290183102</v>
      </c>
      <c r="D49" s="29">
        <f t="shared" si="2"/>
        <v>6.8818664658060218</v>
      </c>
    </row>
    <row r="50" spans="2:4" x14ac:dyDescent="0.25">
      <c r="B50" s="4">
        <f t="shared" si="0"/>
        <v>29</v>
      </c>
      <c r="C50" s="28">
        <f t="shared" si="1"/>
        <v>71.968567300115382</v>
      </c>
      <c r="D50" s="28">
        <f t="shared" si="2"/>
        <v>7.0342294989310563</v>
      </c>
    </row>
    <row r="51" spans="2:4" x14ac:dyDescent="0.25">
      <c r="B51" s="5">
        <f t="shared" si="0"/>
        <v>30</v>
      </c>
      <c r="C51" s="29">
        <f t="shared" si="1"/>
        <v>91.029817799152426</v>
      </c>
      <c r="D51" s="29">
        <f t="shared" si="2"/>
        <v>7.176759771150075</v>
      </c>
    </row>
    <row r="52" spans="2:4" x14ac:dyDescent="0.25">
      <c r="B52" s="4">
        <f t="shared" si="0"/>
        <v>31</v>
      </c>
      <c r="C52" s="28">
        <f t="shared" si="1"/>
        <v>115.13953993264505</v>
      </c>
      <c r="D52" s="28">
        <f t="shared" si="2"/>
        <v>7.3129734147481757</v>
      </c>
    </row>
    <row r="53" spans="2:4" x14ac:dyDescent="0.25">
      <c r="B53" s="5">
        <f t="shared" si="0"/>
        <v>32</v>
      </c>
      <c r="C53" s="29">
        <f t="shared" si="1"/>
        <v>145.63484775012481</v>
      </c>
      <c r="D53" s="29">
        <f t="shared" si="2"/>
        <v>7.4449038424048277</v>
      </c>
    </row>
    <row r="54" spans="2:4" x14ac:dyDescent="0.25">
      <c r="B54" s="4">
        <f t="shared" si="0"/>
        <v>33</v>
      </c>
      <c r="C54" s="28">
        <f t="shared" si="1"/>
        <v>184.20699693267215</v>
      </c>
      <c r="D54" s="28">
        <f t="shared" si="2"/>
        <v>7.5737329702634453</v>
      </c>
    </row>
    <row r="55" spans="2:4" x14ac:dyDescent="0.25">
      <c r="B55" s="5">
        <f t="shared" ref="B55:B86" si="3">IF(ROW(B55)-22&lt;$C$13,ROW(B55)-21,"")</f>
        <v>34</v>
      </c>
      <c r="C55" s="29">
        <f t="shared" ref="C55:C86" si="4">IF(ISNUMBER(B55),C54*10^(($C$7-$C$6)/($C$13-1)),0)</f>
        <v>232.99518105153791</v>
      </c>
      <c r="D55" s="29">
        <f t="shared" si="2"/>
        <v>7.7001980012195617</v>
      </c>
    </row>
    <row r="56" spans="2:4" x14ac:dyDescent="0.25">
      <c r="B56" s="4">
        <f t="shared" si="3"/>
        <v>35</v>
      </c>
      <c r="C56" s="28">
        <f t="shared" si="4"/>
        <v>294.705170255182</v>
      </c>
      <c r="D56" s="28">
        <f t="shared" si="2"/>
        <v>7.8248090744974661</v>
      </c>
    </row>
    <row r="57" spans="2:4" x14ac:dyDescent="0.25">
      <c r="B57" s="5">
        <f t="shared" si="3"/>
        <v>36</v>
      </c>
      <c r="C57" s="29">
        <f t="shared" si="4"/>
        <v>372.75937203149522</v>
      </c>
      <c r="D57" s="29">
        <f t="shared" si="2"/>
        <v>7.9479507301997403</v>
      </c>
    </row>
    <row r="58" spans="2:4" x14ac:dyDescent="0.25">
      <c r="B58" s="4">
        <f t="shared" si="3"/>
        <v>37</v>
      </c>
      <c r="C58" s="28">
        <f t="shared" si="4"/>
        <v>471.48663634574092</v>
      </c>
      <c r="D58" s="28">
        <f t="shared" si="2"/>
        <v>8.0699259239253838</v>
      </c>
    </row>
    <row r="59" spans="2:4" x14ac:dyDescent="0.25">
      <c r="B59" s="5">
        <f t="shared" si="3"/>
        <v>38</v>
      </c>
      <c r="C59" s="29">
        <f t="shared" si="4"/>
        <v>596.36233165946635</v>
      </c>
      <c r="D59" s="29">
        <f t="shared" si="2"/>
        <v>8.1909763922012306</v>
      </c>
    </row>
    <row r="60" spans="2:4" x14ac:dyDescent="0.25">
      <c r="B60" s="4">
        <f t="shared" si="3"/>
        <v>39</v>
      </c>
      <c r="C60" s="28">
        <f t="shared" si="4"/>
        <v>754.31200633546439</v>
      </c>
      <c r="D60" s="28">
        <f t="shared" si="2"/>
        <v>8.3112946909833045</v>
      </c>
    </row>
    <row r="61" spans="2:4" x14ac:dyDescent="0.25">
      <c r="B61" s="5">
        <f t="shared" si="3"/>
        <v>40</v>
      </c>
      <c r="C61" s="29">
        <f t="shared" si="4"/>
        <v>954.0954763499974</v>
      </c>
      <c r="D61" s="29">
        <f t="shared" si="2"/>
        <v>8.4310334007176646</v>
      </c>
    </row>
    <row r="62" spans="2:4" x14ac:dyDescent="0.25">
      <c r="B62" s="4">
        <f t="shared" si="3"/>
        <v>41</v>
      </c>
      <c r="C62" s="28">
        <f t="shared" si="4"/>
        <v>1206.7926406393331</v>
      </c>
      <c r="D62" s="28">
        <f t="shared" si="2"/>
        <v>8.550312938834141</v>
      </c>
    </row>
    <row r="63" spans="2:4" x14ac:dyDescent="0.25">
      <c r="B63" s="5">
        <f t="shared" si="3"/>
        <v>42</v>
      </c>
      <c r="C63" s="29">
        <f t="shared" si="4"/>
        <v>1526.4179671752393</v>
      </c>
      <c r="D63" s="29">
        <f t="shared" si="2"/>
        <v>8.6692281835728231</v>
      </c>
    </row>
    <row r="64" spans="2:4" x14ac:dyDescent="0.25">
      <c r="B64" s="4">
        <f t="shared" si="3"/>
        <v>43</v>
      </c>
      <c r="C64" s="28">
        <f t="shared" si="4"/>
        <v>1930.6977288832577</v>
      </c>
      <c r="D64" s="28">
        <f t="shared" si="2"/>
        <v>8.7878539222434533</v>
      </c>
    </row>
    <row r="65" spans="2:4" x14ac:dyDescent="0.25">
      <c r="B65" s="5">
        <f t="shared" si="3"/>
        <v>44</v>
      </c>
      <c r="C65" s="29">
        <f t="shared" si="4"/>
        <v>2442.0530945486607</v>
      </c>
      <c r="D65" s="29">
        <f t="shared" si="2"/>
        <v>8.9062492080191298</v>
      </c>
    </row>
    <row r="66" spans="2:4" x14ac:dyDescent="0.25">
      <c r="B66" s="4">
        <f t="shared" si="3"/>
        <v>45</v>
      </c>
      <c r="C66" s="28">
        <f t="shared" si="4"/>
        <v>3088.8435964774935</v>
      </c>
      <c r="D66" s="28">
        <f t="shared" si="2"/>
        <v>9.0244607789764739</v>
      </c>
    </row>
    <row r="67" spans="2:4" x14ac:dyDescent="0.25">
      <c r="B67" s="5">
        <f t="shared" si="3"/>
        <v>46</v>
      </c>
      <c r="C67" s="29">
        <f t="shared" si="4"/>
        <v>3906.939937054633</v>
      </c>
      <c r="D67" s="29">
        <f t="shared" si="2"/>
        <v>9.1425257161002644</v>
      </c>
    </row>
    <row r="68" spans="2:4" x14ac:dyDescent="0.25">
      <c r="B68" s="4">
        <f t="shared" si="3"/>
        <v>47</v>
      </c>
      <c r="C68" s="28">
        <f t="shared" si="4"/>
        <v>4941.7133613238548</v>
      </c>
      <c r="D68" s="28">
        <f t="shared" si="2"/>
        <v>9.2604735038492745</v>
      </c>
    </row>
    <row r="69" spans="2:4" x14ac:dyDescent="0.25">
      <c r="B69" s="5">
        <f t="shared" si="3"/>
        <v>48</v>
      </c>
      <c r="C69" s="29">
        <f t="shared" si="4"/>
        <v>6250.5519252739996</v>
      </c>
      <c r="D69" s="29">
        <f t="shared" si="2"/>
        <v>9.3783276304795926</v>
      </c>
    </row>
    <row r="70" spans="2:4" x14ac:dyDescent="0.25">
      <c r="B70" s="4">
        <f t="shared" si="3"/>
        <v>49</v>
      </c>
      <c r="C70" s="28">
        <f t="shared" si="4"/>
        <v>7906.0432109077337</v>
      </c>
      <c r="D70" s="28">
        <f t="shared" si="2"/>
        <v>9.4961068356231273</v>
      </c>
    </row>
    <row r="71" spans="2:4" x14ac:dyDescent="0.25">
      <c r="B71" s="5">
        <f t="shared" si="3"/>
        <v>50</v>
      </c>
      <c r="C71" s="29">
        <f t="shared" si="4"/>
        <v>10000.000000000044</v>
      </c>
      <c r="D71" s="29">
        <f t="shared" si="2"/>
        <v>9.6138260876919865</v>
      </c>
    </row>
    <row r="72" spans="2:4" x14ac:dyDescent="0.25">
      <c r="B72" s="4" t="str">
        <f t="shared" si="3"/>
        <v/>
      </c>
      <c r="C72" s="28">
        <f t="shared" si="4"/>
        <v>0</v>
      </c>
      <c r="D72" s="28" t="str">
        <f t="shared" si="2"/>
        <v/>
      </c>
    </row>
    <row r="73" spans="2:4" x14ac:dyDescent="0.25">
      <c r="B73" s="5" t="str">
        <f t="shared" si="3"/>
        <v/>
      </c>
      <c r="C73" s="29">
        <f t="shared" si="4"/>
        <v>0</v>
      </c>
      <c r="D73" s="29" t="str">
        <f t="shared" si="2"/>
        <v/>
      </c>
    </row>
    <row r="74" spans="2:4" x14ac:dyDescent="0.25">
      <c r="B74" s="4" t="str">
        <f t="shared" si="3"/>
        <v/>
      </c>
      <c r="C74" s="28">
        <f t="shared" si="4"/>
        <v>0</v>
      </c>
      <c r="D74" s="28" t="str">
        <f t="shared" si="2"/>
        <v/>
      </c>
    </row>
    <row r="75" spans="2:4" x14ac:dyDescent="0.25">
      <c r="B75" s="5" t="str">
        <f t="shared" si="3"/>
        <v/>
      </c>
      <c r="C75" s="29">
        <f t="shared" si="4"/>
        <v>0</v>
      </c>
      <c r="D75" s="29" t="str">
        <f t="shared" si="2"/>
        <v/>
      </c>
    </row>
    <row r="76" spans="2:4" x14ac:dyDescent="0.25">
      <c r="B76" s="4" t="str">
        <f t="shared" si="3"/>
        <v/>
      </c>
      <c r="C76" s="28">
        <f t="shared" si="4"/>
        <v>0</v>
      </c>
      <c r="D76" s="28" t="str">
        <f t="shared" si="2"/>
        <v/>
      </c>
    </row>
    <row r="77" spans="2:4" x14ac:dyDescent="0.25">
      <c r="B77" s="5" t="str">
        <f t="shared" si="3"/>
        <v/>
      </c>
      <c r="C77" s="29">
        <f t="shared" si="4"/>
        <v>0</v>
      </c>
      <c r="D77" s="29" t="str">
        <f t="shared" si="2"/>
        <v/>
      </c>
    </row>
    <row r="78" spans="2:4" x14ac:dyDescent="0.25">
      <c r="B78" s="4" t="str">
        <f t="shared" si="3"/>
        <v/>
      </c>
      <c r="C78" s="28">
        <f t="shared" si="4"/>
        <v>0</v>
      </c>
      <c r="D78" s="28" t="str">
        <f t="shared" si="2"/>
        <v/>
      </c>
    </row>
    <row r="79" spans="2:4" x14ac:dyDescent="0.25">
      <c r="B79" s="5" t="str">
        <f t="shared" si="3"/>
        <v/>
      </c>
      <c r="C79" s="29">
        <f t="shared" si="4"/>
        <v>0</v>
      </c>
      <c r="D79" s="29" t="str">
        <f t="shared" si="2"/>
        <v/>
      </c>
    </row>
    <row r="80" spans="2:4" x14ac:dyDescent="0.25">
      <c r="B80" s="4" t="str">
        <f t="shared" si="3"/>
        <v/>
      </c>
      <c r="C80" s="28">
        <f t="shared" si="4"/>
        <v>0</v>
      </c>
      <c r="D80" s="28" t="str">
        <f t="shared" si="2"/>
        <v/>
      </c>
    </row>
    <row r="81" spans="2:4" x14ac:dyDescent="0.25">
      <c r="B81" s="5" t="str">
        <f t="shared" si="3"/>
        <v/>
      </c>
      <c r="C81" s="29">
        <f t="shared" si="4"/>
        <v>0</v>
      </c>
      <c r="D81" s="29" t="str">
        <f t="shared" si="2"/>
        <v/>
      </c>
    </row>
    <row r="82" spans="2:4" x14ac:dyDescent="0.25">
      <c r="B82" s="4" t="str">
        <f t="shared" si="3"/>
        <v/>
      </c>
      <c r="C82" s="28">
        <f t="shared" si="4"/>
        <v>0</v>
      </c>
      <c r="D82" s="28" t="str">
        <f t="shared" si="2"/>
        <v/>
      </c>
    </row>
    <row r="83" spans="2:4" x14ac:dyDescent="0.25">
      <c r="B83" s="5" t="str">
        <f t="shared" si="3"/>
        <v/>
      </c>
      <c r="C83" s="29">
        <f t="shared" si="4"/>
        <v>0</v>
      </c>
      <c r="D83" s="29" t="str">
        <f t="shared" si="2"/>
        <v/>
      </c>
    </row>
    <row r="84" spans="2:4" x14ac:dyDescent="0.25">
      <c r="B84" s="4" t="str">
        <f t="shared" si="3"/>
        <v/>
      </c>
      <c r="C84" s="28">
        <f t="shared" si="4"/>
        <v>0</v>
      </c>
      <c r="D84" s="28" t="str">
        <f t="shared" si="2"/>
        <v/>
      </c>
    </row>
    <row r="85" spans="2:4" x14ac:dyDescent="0.25">
      <c r="B85" s="5" t="str">
        <f t="shared" si="3"/>
        <v/>
      </c>
      <c r="C85" s="29">
        <f t="shared" si="4"/>
        <v>0</v>
      </c>
      <c r="D85" s="29" t="str">
        <f t="shared" si="2"/>
        <v/>
      </c>
    </row>
    <row r="86" spans="2:4" x14ac:dyDescent="0.25">
      <c r="B86" s="4" t="str">
        <f t="shared" si="3"/>
        <v/>
      </c>
      <c r="C86" s="28">
        <f t="shared" si="4"/>
        <v>0</v>
      </c>
      <c r="D86" s="28" t="str">
        <f t="shared" si="2"/>
        <v/>
      </c>
    </row>
    <row r="87" spans="2:4" x14ac:dyDescent="0.25">
      <c r="B87" s="5" t="str">
        <f t="shared" ref="B87:B121" si="5">IF(ROW(B87)-22&lt;$C$13,ROW(B87)-21,"")</f>
        <v/>
      </c>
      <c r="C87" s="29">
        <f t="shared" ref="C87:C118" si="6">IF(ISNUMBER(B87),C86*10^(($C$7-$C$6)/($C$13-1)),0)</f>
        <v>0</v>
      </c>
      <c r="D87" s="29" t="str">
        <f t="shared" ref="D87:D121" si="7">IF(ISNUMBER(B87),pd($C$8,C87,$C$9,$C$10),"")</f>
        <v/>
      </c>
    </row>
    <row r="88" spans="2:4" x14ac:dyDescent="0.25">
      <c r="B88" s="4" t="str">
        <f t="shared" si="5"/>
        <v/>
      </c>
      <c r="C88" s="28">
        <f t="shared" si="6"/>
        <v>0</v>
      </c>
      <c r="D88" s="28" t="str">
        <f t="shared" si="7"/>
        <v/>
      </c>
    </row>
    <row r="89" spans="2:4" x14ac:dyDescent="0.25">
      <c r="B89" s="5" t="str">
        <f t="shared" si="5"/>
        <v/>
      </c>
      <c r="C89" s="29">
        <f t="shared" si="6"/>
        <v>0</v>
      </c>
      <c r="D89" s="29" t="str">
        <f t="shared" si="7"/>
        <v/>
      </c>
    </row>
    <row r="90" spans="2:4" x14ac:dyDescent="0.25">
      <c r="B90" s="4" t="str">
        <f t="shared" si="5"/>
        <v/>
      </c>
      <c r="C90" s="28">
        <f t="shared" si="6"/>
        <v>0</v>
      </c>
      <c r="D90" s="28" t="str">
        <f t="shared" si="7"/>
        <v/>
      </c>
    </row>
    <row r="91" spans="2:4" x14ac:dyDescent="0.25">
      <c r="B91" s="5" t="str">
        <f t="shared" si="5"/>
        <v/>
      </c>
      <c r="C91" s="29">
        <f t="shared" si="6"/>
        <v>0</v>
      </c>
      <c r="D91" s="29" t="str">
        <f t="shared" si="7"/>
        <v/>
      </c>
    </row>
    <row r="92" spans="2:4" x14ac:dyDescent="0.25">
      <c r="B92" s="4" t="str">
        <f t="shared" si="5"/>
        <v/>
      </c>
      <c r="C92" s="28">
        <f t="shared" si="6"/>
        <v>0</v>
      </c>
      <c r="D92" s="28" t="str">
        <f t="shared" si="7"/>
        <v/>
      </c>
    </row>
    <row r="93" spans="2:4" x14ac:dyDescent="0.25">
      <c r="B93" s="5" t="str">
        <f t="shared" si="5"/>
        <v/>
      </c>
      <c r="C93" s="29">
        <f t="shared" si="6"/>
        <v>0</v>
      </c>
      <c r="D93" s="29" t="str">
        <f t="shared" si="7"/>
        <v/>
      </c>
    </row>
    <row r="94" spans="2:4" x14ac:dyDescent="0.25">
      <c r="B94" s="4" t="str">
        <f t="shared" si="5"/>
        <v/>
      </c>
      <c r="C94" s="28">
        <f t="shared" si="6"/>
        <v>0</v>
      </c>
      <c r="D94" s="28" t="str">
        <f t="shared" si="7"/>
        <v/>
      </c>
    </row>
    <row r="95" spans="2:4" x14ac:dyDescent="0.25">
      <c r="B95" s="5" t="str">
        <f t="shared" si="5"/>
        <v/>
      </c>
      <c r="C95" s="29">
        <f t="shared" si="6"/>
        <v>0</v>
      </c>
      <c r="D95" s="29" t="str">
        <f t="shared" si="7"/>
        <v/>
      </c>
    </row>
    <row r="96" spans="2:4" x14ac:dyDescent="0.25">
      <c r="B96" s="4" t="str">
        <f t="shared" si="5"/>
        <v/>
      </c>
      <c r="C96" s="28">
        <f t="shared" si="6"/>
        <v>0</v>
      </c>
      <c r="D96" s="28" t="str">
        <f t="shared" si="7"/>
        <v/>
      </c>
    </row>
    <row r="97" spans="2:4" x14ac:dyDescent="0.25">
      <c r="B97" s="5" t="str">
        <f t="shared" si="5"/>
        <v/>
      </c>
      <c r="C97" s="29">
        <f t="shared" si="6"/>
        <v>0</v>
      </c>
      <c r="D97" s="29" t="str">
        <f t="shared" si="7"/>
        <v/>
      </c>
    </row>
    <row r="98" spans="2:4" x14ac:dyDescent="0.25">
      <c r="B98" s="4" t="str">
        <f t="shared" si="5"/>
        <v/>
      </c>
      <c r="C98" s="28">
        <f t="shared" si="6"/>
        <v>0</v>
      </c>
      <c r="D98" s="28" t="str">
        <f t="shared" si="7"/>
        <v/>
      </c>
    </row>
    <row r="99" spans="2:4" x14ac:dyDescent="0.25">
      <c r="B99" s="5" t="str">
        <f t="shared" si="5"/>
        <v/>
      </c>
      <c r="C99" s="29">
        <f t="shared" si="6"/>
        <v>0</v>
      </c>
      <c r="D99" s="29" t="str">
        <f t="shared" si="7"/>
        <v/>
      </c>
    </row>
    <row r="100" spans="2:4" x14ac:dyDescent="0.25">
      <c r="B100" s="4" t="str">
        <f t="shared" si="5"/>
        <v/>
      </c>
      <c r="C100" s="28">
        <f t="shared" si="6"/>
        <v>0</v>
      </c>
      <c r="D100" s="28" t="str">
        <f t="shared" si="7"/>
        <v/>
      </c>
    </row>
    <row r="101" spans="2:4" x14ac:dyDescent="0.25">
      <c r="B101" s="5" t="str">
        <f t="shared" si="5"/>
        <v/>
      </c>
      <c r="C101" s="29">
        <f t="shared" si="6"/>
        <v>0</v>
      </c>
      <c r="D101" s="29" t="str">
        <f t="shared" si="7"/>
        <v/>
      </c>
    </row>
    <row r="102" spans="2:4" x14ac:dyDescent="0.25">
      <c r="B102" s="4" t="str">
        <f t="shared" si="5"/>
        <v/>
      </c>
      <c r="C102" s="28">
        <f t="shared" si="6"/>
        <v>0</v>
      </c>
      <c r="D102" s="28" t="str">
        <f t="shared" si="7"/>
        <v/>
      </c>
    </row>
    <row r="103" spans="2:4" x14ac:dyDescent="0.25">
      <c r="B103" s="5" t="str">
        <f t="shared" si="5"/>
        <v/>
      </c>
      <c r="C103" s="29">
        <f t="shared" si="6"/>
        <v>0</v>
      </c>
      <c r="D103" s="29" t="str">
        <f t="shared" si="7"/>
        <v/>
      </c>
    </row>
    <row r="104" spans="2:4" x14ac:dyDescent="0.25">
      <c r="B104" s="4" t="str">
        <f t="shared" si="5"/>
        <v/>
      </c>
      <c r="C104" s="28">
        <f t="shared" si="6"/>
        <v>0</v>
      </c>
      <c r="D104" s="28" t="str">
        <f t="shared" si="7"/>
        <v/>
      </c>
    </row>
    <row r="105" spans="2:4" x14ac:dyDescent="0.25">
      <c r="B105" s="5" t="str">
        <f t="shared" si="5"/>
        <v/>
      </c>
      <c r="C105" s="29">
        <f t="shared" si="6"/>
        <v>0</v>
      </c>
      <c r="D105" s="29" t="str">
        <f t="shared" si="7"/>
        <v/>
      </c>
    </row>
    <row r="106" spans="2:4" x14ac:dyDescent="0.25">
      <c r="B106" s="4" t="str">
        <f t="shared" si="5"/>
        <v/>
      </c>
      <c r="C106" s="28">
        <f t="shared" si="6"/>
        <v>0</v>
      </c>
      <c r="D106" s="28" t="str">
        <f t="shared" si="7"/>
        <v/>
      </c>
    </row>
    <row r="107" spans="2:4" x14ac:dyDescent="0.25">
      <c r="B107" s="5" t="str">
        <f t="shared" si="5"/>
        <v/>
      </c>
      <c r="C107" s="29">
        <f t="shared" si="6"/>
        <v>0</v>
      </c>
      <c r="D107" s="29" t="str">
        <f t="shared" si="7"/>
        <v/>
      </c>
    </row>
    <row r="108" spans="2:4" x14ac:dyDescent="0.25">
      <c r="B108" s="4" t="str">
        <f t="shared" si="5"/>
        <v/>
      </c>
      <c r="C108" s="28">
        <f t="shared" si="6"/>
        <v>0</v>
      </c>
      <c r="D108" s="28" t="str">
        <f t="shared" si="7"/>
        <v/>
      </c>
    </row>
    <row r="109" spans="2:4" x14ac:dyDescent="0.25">
      <c r="B109" s="5" t="str">
        <f t="shared" si="5"/>
        <v/>
      </c>
      <c r="C109" s="29">
        <f t="shared" si="6"/>
        <v>0</v>
      </c>
      <c r="D109" s="29" t="str">
        <f t="shared" si="7"/>
        <v/>
      </c>
    </row>
    <row r="110" spans="2:4" x14ac:dyDescent="0.25">
      <c r="B110" s="4" t="str">
        <f t="shared" si="5"/>
        <v/>
      </c>
      <c r="C110" s="28">
        <f t="shared" si="6"/>
        <v>0</v>
      </c>
      <c r="D110" s="28" t="str">
        <f t="shared" si="7"/>
        <v/>
      </c>
    </row>
    <row r="111" spans="2:4" x14ac:dyDescent="0.25">
      <c r="B111" s="5" t="str">
        <f t="shared" si="5"/>
        <v/>
      </c>
      <c r="C111" s="29">
        <f t="shared" si="6"/>
        <v>0</v>
      </c>
      <c r="D111" s="29" t="str">
        <f t="shared" si="7"/>
        <v/>
      </c>
    </row>
    <row r="112" spans="2:4" x14ac:dyDescent="0.25">
      <c r="B112" s="4" t="str">
        <f t="shared" si="5"/>
        <v/>
      </c>
      <c r="C112" s="28">
        <f t="shared" si="6"/>
        <v>0</v>
      </c>
      <c r="D112" s="28" t="str">
        <f t="shared" si="7"/>
        <v/>
      </c>
    </row>
    <row r="113" spans="2:4" x14ac:dyDescent="0.25">
      <c r="B113" s="5" t="str">
        <f t="shared" si="5"/>
        <v/>
      </c>
      <c r="C113" s="29">
        <f t="shared" si="6"/>
        <v>0</v>
      </c>
      <c r="D113" s="29" t="str">
        <f t="shared" si="7"/>
        <v/>
      </c>
    </row>
    <row r="114" spans="2:4" x14ac:dyDescent="0.25">
      <c r="B114" s="4" t="str">
        <f t="shared" si="5"/>
        <v/>
      </c>
      <c r="C114" s="28">
        <f t="shared" si="6"/>
        <v>0</v>
      </c>
      <c r="D114" s="28" t="str">
        <f t="shared" si="7"/>
        <v/>
      </c>
    </row>
    <row r="115" spans="2:4" x14ac:dyDescent="0.25">
      <c r="B115" s="5" t="str">
        <f t="shared" si="5"/>
        <v/>
      </c>
      <c r="C115" s="29">
        <f t="shared" si="6"/>
        <v>0</v>
      </c>
      <c r="D115" s="29" t="str">
        <f t="shared" si="7"/>
        <v/>
      </c>
    </row>
    <row r="116" spans="2:4" x14ac:dyDescent="0.25">
      <c r="B116" s="4" t="str">
        <f t="shared" si="5"/>
        <v/>
      </c>
      <c r="C116" s="28">
        <f t="shared" si="6"/>
        <v>0</v>
      </c>
      <c r="D116" s="28" t="str">
        <f t="shared" si="7"/>
        <v/>
      </c>
    </row>
    <row r="117" spans="2:4" x14ac:dyDescent="0.25">
      <c r="B117" s="5" t="str">
        <f t="shared" si="5"/>
        <v/>
      </c>
      <c r="C117" s="29">
        <f t="shared" si="6"/>
        <v>0</v>
      </c>
      <c r="D117" s="29" t="str">
        <f t="shared" si="7"/>
        <v/>
      </c>
    </row>
    <row r="118" spans="2:4" x14ac:dyDescent="0.25">
      <c r="B118" s="4" t="str">
        <f t="shared" si="5"/>
        <v/>
      </c>
      <c r="C118" s="28">
        <f t="shared" si="6"/>
        <v>0</v>
      </c>
      <c r="D118" s="28" t="str">
        <f t="shared" si="7"/>
        <v/>
      </c>
    </row>
    <row r="119" spans="2:4" x14ac:dyDescent="0.25">
      <c r="B119" s="5" t="str">
        <f t="shared" si="5"/>
        <v/>
      </c>
      <c r="C119" s="29">
        <f t="shared" ref="C119:C121" si="8">IF(ISNUMBER(B119),C118*10^(($C$7-$C$6)/($C$13-1)),0)</f>
        <v>0</v>
      </c>
      <c r="D119" s="29" t="str">
        <f t="shared" si="7"/>
        <v/>
      </c>
    </row>
    <row r="120" spans="2:4" x14ac:dyDescent="0.25">
      <c r="B120" s="4" t="str">
        <f t="shared" si="5"/>
        <v/>
      </c>
      <c r="C120" s="28">
        <f t="shared" si="8"/>
        <v>0</v>
      </c>
      <c r="D120" s="28" t="str">
        <f t="shared" si="7"/>
        <v/>
      </c>
    </row>
    <row r="121" spans="2:4" ht="15.75" thickBot="1" x14ac:dyDescent="0.3">
      <c r="B121" s="19" t="str">
        <f t="shared" si="5"/>
        <v/>
      </c>
      <c r="C121" s="30">
        <f t="shared" si="8"/>
        <v>0</v>
      </c>
      <c r="D121" s="30" t="str">
        <f t="shared" si="7"/>
        <v/>
      </c>
    </row>
  </sheetData>
  <mergeCells count="5">
    <mergeCell ref="B1:P2"/>
    <mergeCell ref="D3:M3"/>
    <mergeCell ref="B12:C12"/>
    <mergeCell ref="B20:D20"/>
    <mergeCell ref="B16:D17"/>
  </mergeCells>
  <dataValidations disablePrompts="1" count="1">
    <dataValidation type="whole" allowBlank="1" showInputMessage="1" showErrorMessage="1" errorTitle="Error!" error="Max points: 100" promptTitle="Attention" prompt="Max points: 100" sqref="C13">
      <formula1>1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3</xdr:col>
                    <xdr:colOff>38100</xdr:colOff>
                    <xdr:row>9</xdr:row>
                    <xdr:rowOff>9525</xdr:rowOff>
                  </from>
                  <to>
                    <xdr:col>3</xdr:col>
                    <xdr:colOff>247650</xdr:colOff>
                    <xdr:row>9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Spinner 3">
              <controlPr defaultSize="0" autoPict="0">
                <anchor moveWithCells="1" sizeWithCells="1">
                  <from>
                    <xdr:col>3</xdr:col>
                    <xdr:colOff>38100</xdr:colOff>
                    <xdr:row>11</xdr:row>
                    <xdr:rowOff>9525</xdr:rowOff>
                  </from>
                  <to>
                    <xdr:col>3</xdr:col>
                    <xdr:colOff>247650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P121"/>
  <sheetViews>
    <sheetView showGridLines="0" zoomScaleNormal="100" workbookViewId="0">
      <selection activeCell="D3" sqref="D3:M3"/>
    </sheetView>
  </sheetViews>
  <sheetFormatPr defaultColWidth="9.140625" defaultRowHeight="15" x14ac:dyDescent="0.25"/>
  <cols>
    <col min="1" max="1" width="1.85546875" customWidth="1"/>
    <col min="2" max="2" width="13.85546875" customWidth="1"/>
    <col min="3" max="3" width="9.140625" customWidth="1"/>
    <col min="4" max="4" width="10.85546875" customWidth="1"/>
    <col min="5" max="5" width="13.7109375" bestFit="1" customWidth="1"/>
    <col min="6" max="16" width="9.140625" customWidth="1"/>
  </cols>
  <sheetData>
    <row r="1" spans="2:16" ht="15" customHeight="1" x14ac:dyDescent="0.25">
      <c r="B1" s="43" t="s">
        <v>29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2:16" ht="15" customHeight="1" x14ac:dyDescent="0.25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2:16" ht="15.75" thickBot="1" x14ac:dyDescent="0.3">
      <c r="B3" s="25"/>
      <c r="C3" s="25"/>
      <c r="D3" s="44" t="s">
        <v>32</v>
      </c>
      <c r="E3" s="44"/>
      <c r="F3" s="44"/>
      <c r="G3" s="44"/>
      <c r="H3" s="44"/>
      <c r="I3" s="44"/>
      <c r="J3" s="44"/>
      <c r="K3" s="44"/>
      <c r="L3" s="44"/>
      <c r="M3" s="44"/>
      <c r="N3" s="25"/>
      <c r="O3" s="25"/>
      <c r="P3" s="25"/>
    </row>
    <row r="4" spans="2:16" ht="15" customHeight="1" x14ac:dyDescent="0.25">
      <c r="B4" s="42" t="s">
        <v>4</v>
      </c>
      <c r="C4" s="35"/>
    </row>
    <row r="5" spans="2:16" x14ac:dyDescent="0.25">
      <c r="B5" s="23" t="s">
        <v>7</v>
      </c>
      <c r="C5" s="22">
        <v>-2</v>
      </c>
    </row>
    <row r="6" spans="2:16" x14ac:dyDescent="0.25">
      <c r="B6" s="23" t="s">
        <v>8</v>
      </c>
      <c r="C6" s="22">
        <v>4</v>
      </c>
    </row>
    <row r="7" spans="2:16" x14ac:dyDescent="0.25">
      <c r="B7" s="23" t="s">
        <v>1</v>
      </c>
      <c r="C7" s="22">
        <v>1</v>
      </c>
    </row>
    <row r="8" spans="2:16" ht="15.75" thickBot="1" x14ac:dyDescent="0.3">
      <c r="B8" s="23" t="s">
        <v>23</v>
      </c>
      <c r="C8" s="22">
        <v>10000</v>
      </c>
    </row>
    <row r="9" spans="2:16" ht="24.95" customHeight="1" x14ac:dyDescent="0.25">
      <c r="B9" s="33" t="s">
        <v>12</v>
      </c>
      <c r="C9" s="34">
        <v>12</v>
      </c>
      <c r="D9" s="37" t="s">
        <v>23</v>
      </c>
      <c r="E9" s="39">
        <f>10^(F9-2)</f>
        <v>1E+20</v>
      </c>
      <c r="F9">
        <v>22</v>
      </c>
    </row>
    <row r="10" spans="2:16" ht="24.95" customHeight="1" x14ac:dyDescent="0.25">
      <c r="B10" s="33" t="s">
        <v>13</v>
      </c>
      <c r="C10" s="34">
        <v>8</v>
      </c>
      <c r="D10" s="36" t="s">
        <v>23</v>
      </c>
      <c r="E10" s="40">
        <f t="shared" ref="E10:E13" si="0">10^(F10-2)</f>
        <v>10000</v>
      </c>
      <c r="F10">
        <v>6</v>
      </c>
    </row>
    <row r="11" spans="2:16" ht="24.95" customHeight="1" x14ac:dyDescent="0.25">
      <c r="B11" s="33" t="s">
        <v>14</v>
      </c>
      <c r="C11" s="34">
        <v>8</v>
      </c>
      <c r="D11" s="36" t="s">
        <v>23</v>
      </c>
      <c r="E11" s="40">
        <f t="shared" si="0"/>
        <v>1E+18</v>
      </c>
      <c r="F11">
        <v>20</v>
      </c>
    </row>
    <row r="12" spans="2:16" ht="24.95" customHeight="1" x14ac:dyDescent="0.25">
      <c r="B12" s="33" t="s">
        <v>15</v>
      </c>
      <c r="C12" s="34">
        <v>8</v>
      </c>
      <c r="D12" s="36" t="s">
        <v>23</v>
      </c>
      <c r="E12" s="40">
        <f t="shared" si="0"/>
        <v>1E+16</v>
      </c>
      <c r="F12">
        <v>18</v>
      </c>
    </row>
    <row r="13" spans="2:16" ht="24.95" customHeight="1" thickBot="1" x14ac:dyDescent="0.3">
      <c r="B13" s="33" t="s">
        <v>16</v>
      </c>
      <c r="C13" s="34">
        <v>8</v>
      </c>
      <c r="D13" s="38" t="s">
        <v>23</v>
      </c>
      <c r="E13" s="41">
        <f t="shared" si="0"/>
        <v>10000000000</v>
      </c>
      <c r="F13">
        <v>12</v>
      </c>
    </row>
    <row r="14" spans="2:16" ht="15.75" thickBot="1" x14ac:dyDescent="0.3">
      <c r="C14" s="1"/>
    </row>
    <row r="15" spans="2:16" x14ac:dyDescent="0.25">
      <c r="B15" s="45" t="s">
        <v>9</v>
      </c>
      <c r="C15" s="46"/>
    </row>
    <row r="16" spans="2:16" ht="15" customHeight="1" thickBot="1" x14ac:dyDescent="0.3">
      <c r="B16" s="24" t="s">
        <v>10</v>
      </c>
      <c r="C16" s="7">
        <v>50</v>
      </c>
    </row>
    <row r="17" spans="2:8" ht="15.75" thickBot="1" x14ac:dyDescent="0.3"/>
    <row r="18" spans="2:8" ht="15.75" thickBot="1" x14ac:dyDescent="0.3">
      <c r="B18" s="56" t="str">
        <f>"Range from "&amp;10^C5&amp;"  to "&amp;10^C6</f>
        <v>Range from 0.01  to 10000</v>
      </c>
      <c r="C18" s="57"/>
      <c r="D18" s="58"/>
    </row>
    <row r="19" spans="2:8" ht="15.75" thickBot="1" x14ac:dyDescent="0.3"/>
    <row r="20" spans="2:8" ht="15.75" thickBot="1" x14ac:dyDescent="0.3">
      <c r="B20" s="47" t="s">
        <v>22</v>
      </c>
      <c r="C20" s="48"/>
      <c r="D20" s="49"/>
    </row>
    <row r="21" spans="2:8" x14ac:dyDescent="0.25">
      <c r="B21" s="26" t="s">
        <v>11</v>
      </c>
      <c r="C21" s="27" t="s">
        <v>2</v>
      </c>
      <c r="D21" s="27" t="s">
        <v>17</v>
      </c>
      <c r="E21" s="27" t="s">
        <v>18</v>
      </c>
      <c r="F21" s="27" t="s">
        <v>19</v>
      </c>
      <c r="G21" s="27" t="s">
        <v>20</v>
      </c>
      <c r="H21" s="27" t="s">
        <v>21</v>
      </c>
    </row>
    <row r="22" spans="2:8" x14ac:dyDescent="0.25">
      <c r="B22" s="4">
        <v>1</v>
      </c>
      <c r="C22" s="28">
        <f>IF(B22&gt;0,10^C5,"")</f>
        <v>0.01</v>
      </c>
      <c r="D22" s="28">
        <f>IF(ISNUMBER(B22),pd($C$7,C22,$E$9,$C$9),"")</f>
        <v>9.9975570718319213E-3</v>
      </c>
      <c r="E22" s="28">
        <f>IF(ISNUMBER($B22),pd($C$7,$C22,$E$10,$C$10),"")</f>
        <v>9.9766566215015451E-3</v>
      </c>
      <c r="F22" s="28">
        <f>IF(ISNUMBER($B22),pd($C$7,$C22,$E$11,$C$11),"")</f>
        <v>9.9987649742138175E-3</v>
      </c>
      <c r="G22" s="28">
        <f>IF(ISNUMBER($B22),pd($C$7,$C22,$E$12,$C$12),"")</f>
        <v>9.9983602784561535E-3</v>
      </c>
      <c r="H22" s="28">
        <f>IF(ISNUMBER($B22),pd($C$7,$C22,$E$13,$C$13),"")</f>
        <v>9.9958892365275102E-3</v>
      </c>
    </row>
    <row r="23" spans="2:8" x14ac:dyDescent="0.25">
      <c r="B23" s="5">
        <f t="shared" ref="B23:B54" si="1">IF(ROW(B23)-22&lt;$C$16,ROW(B23)-21,"")</f>
        <v>2</v>
      </c>
      <c r="C23" s="29">
        <f t="shared" ref="C23:C54" si="2">IF(ISNUMBER(B23),C22*10^(($C$6-$C$5)/($C$16-1)),0)</f>
        <v>1.3257113655901091E-2</v>
      </c>
      <c r="D23" s="29">
        <f>IF(ISNUMBER(B23),pd($C$7,C23,$E$9,$C$9),"")</f>
        <v>1.3252845855320031E-2</v>
      </c>
      <c r="E23" s="29">
        <f>IF(ISNUMBER($B23),pd($C$7,$C23,$E$10,$C$10),"")</f>
        <v>1.3218234792528353E-2</v>
      </c>
      <c r="F23" s="29">
        <f>IF(ISNUMBER($B23),pd($C$7,$C23,$E$11,$C$11),"")</f>
        <v>1.3254315836885678E-2</v>
      </c>
      <c r="G23" s="29">
        <f>IF(ISNUMBER($B23),pd($C$7,$C23,$E$12,$C$12),"")</f>
        <v>1.3253616406347715E-2</v>
      </c>
      <c r="H23" s="29">
        <f>IF(ISNUMBER($B23),pd($C$7,$C23,$E$13,$C$13),"")</f>
        <v>1.324937983058719E-2</v>
      </c>
    </row>
    <row r="24" spans="2:8" x14ac:dyDescent="0.25">
      <c r="B24" s="4">
        <f t="shared" si="1"/>
        <v>3</v>
      </c>
      <c r="C24" s="28">
        <f t="shared" si="2"/>
        <v>1.7575106248547922E-2</v>
      </c>
      <c r="D24" s="28">
        <f>IF(ISNUMBER(B24),pd($C$7,C24,$E$9,$C$9),"")</f>
        <v>1.7567651864022402E-2</v>
      </c>
      <c r="E24" s="28">
        <f>IF(ISNUMBER($B24),pd($C$7,$C24,$E$10,$C$10),"")</f>
        <v>1.7510264181185595E-2</v>
      </c>
      <c r="F24" s="28">
        <f>IF(ISNUMBER($B24),pd($C$7,$C24,$E$11,$C$11),"")</f>
        <v>1.7569373031217469E-2</v>
      </c>
      <c r="G24" s="28">
        <f>IF(ISNUMBER($B24),pd($C$7,$C24,$E$12,$C$12),"")</f>
        <v>1.7568164094229712E-2</v>
      </c>
      <c r="H24" s="28">
        <f>IF(ISNUMBER($B24),pd($C$7,$C24,$E$13,$C$13),"")</f>
        <v>1.7560898608354438E-2</v>
      </c>
    </row>
    <row r="25" spans="2:8" x14ac:dyDescent="0.25">
      <c r="B25" s="5">
        <f t="shared" si="1"/>
        <v>4</v>
      </c>
      <c r="C25" s="29">
        <f t="shared" si="2"/>
        <v>2.3299518105153724E-2</v>
      </c>
      <c r="D25" s="29">
        <f>IF(ISNUMBER(B25),pd($C$7,C25,$E$9,$C$9),"")</f>
        <v>2.3286499783489144E-2</v>
      </c>
      <c r="E25" s="29">
        <f>IF(ISNUMBER($B25),pd($C$7,$C25,$E$10,$C$10),"")</f>
        <v>2.3191228557108038E-2</v>
      </c>
      <c r="F25" s="29">
        <f>IF(ISNUMBER($B25),pd($C$7,$C25,$E$11,$C$11),"")</f>
        <v>2.3288387139158626E-2</v>
      </c>
      <c r="G25" s="29">
        <f>IF(ISNUMBER($B25),pd($C$7,$C25,$E$12,$C$12),"")</f>
        <v>2.3286297363833832E-2</v>
      </c>
      <c r="H25" s="29">
        <f>IF(ISNUMBER($B25),pd($C$7,$C25,$E$13,$C$13),"")</f>
        <v>2.3273834501344823E-2</v>
      </c>
    </row>
    <row r="26" spans="2:8" x14ac:dyDescent="0.25">
      <c r="B26" s="4">
        <f t="shared" si="1"/>
        <v>5</v>
      </c>
      <c r="C26" s="28">
        <f t="shared" si="2"/>
        <v>3.0888435964774818E-2</v>
      </c>
      <c r="D26" s="28">
        <f>IF(ISNUMBER(B26),pd($C$7,C26,$E$9,$C$9),"")</f>
        <v>3.0865703396145857E-2</v>
      </c>
      <c r="E26" s="28">
        <f>IF(ISNUMBER($B26),pd($C$7,$C26,$E$10,$C$10),"")</f>
        <v>3.0707348487799612E-2</v>
      </c>
      <c r="F26" s="28">
        <f>IF(ISNUMBER($B26),pd($C$7,$C26,$E$11,$C$11),"")</f>
        <v>3.0867521987467721E-2</v>
      </c>
      <c r="G26" s="28">
        <f>IF(ISNUMBER($B26),pd($C$7,$C26,$E$12,$C$12),"")</f>
        <v>3.0863909349448028E-2</v>
      </c>
      <c r="H26" s="28">
        <f>IF(ISNUMBER($B26),pd($C$7,$C26,$E$13,$C$13),"")</f>
        <v>3.0842526734825081E-2</v>
      </c>
    </row>
    <row r="27" spans="2:8" x14ac:dyDescent="0.25">
      <c r="B27" s="5">
        <f t="shared" si="1"/>
        <v>6</v>
      </c>
      <c r="C27" s="29">
        <f t="shared" si="2"/>
        <v>4.0949150623804262E-2</v>
      </c>
      <c r="D27" s="29">
        <f>IF(ISNUMBER(B27),pd($C$7,C27,$E$9,$C$9),"")</f>
        <v>4.090945872540952E-2</v>
      </c>
      <c r="E27" s="29">
        <f>IF(ISNUMBER($B27),pd($C$7,$C27,$E$10,$C$10),"")</f>
        <v>4.0645943872026663E-2</v>
      </c>
      <c r="F27" s="29">
        <f>IF(ISNUMBER($B27),pd($C$7,$C27,$E$11,$C$11),"")</f>
        <v>4.0910685207215761E-2</v>
      </c>
      <c r="G27" s="29">
        <f>IF(ISNUMBER($B27),pd($C$7,$C27,$E$12,$C$12),"")</f>
        <v>4.090443969479525E-2</v>
      </c>
      <c r="H27" s="29">
        <f>IF(ISNUMBER($B27),pd($C$7,$C27,$E$13,$C$13),"")</f>
        <v>4.0867747211866562E-2</v>
      </c>
    </row>
    <row r="28" spans="2:8" x14ac:dyDescent="0.25">
      <c r="B28" s="4">
        <f t="shared" si="1"/>
        <v>7</v>
      </c>
      <c r="C28" s="28">
        <f t="shared" si="2"/>
        <v>5.4286754393238615E-2</v>
      </c>
      <c r="D28" s="28">
        <f>IF(ISNUMBER(B28),pd($C$7,C28,$E$9,$C$9),"")</f>
        <v>5.4217456502974791E-2</v>
      </c>
      <c r="E28" s="28">
        <f>IF(ISNUMBER($B28),pd($C$7,$C28,$E$10,$C$10),"")</f>
        <v>5.3778474146434718E-2</v>
      </c>
      <c r="F28" s="28">
        <f>IF(ISNUMBER($B28),pd($C$7,$C28,$E$11,$C$11),"")</f>
        <v>5.4217030012265251E-2</v>
      </c>
      <c r="G28" s="28">
        <f>IF(ISNUMBER($B28),pd($C$7,$C28,$E$12,$C$12),"")</f>
        <v>5.420623265628717E-2</v>
      </c>
      <c r="H28" s="28">
        <f>IF(ISNUMBER($B28),pd($C$7,$C28,$E$13,$C$13),"")</f>
        <v>5.4143260858035551E-2</v>
      </c>
    </row>
    <row r="29" spans="2:8" x14ac:dyDescent="0.25">
      <c r="B29" s="5">
        <f t="shared" si="1"/>
        <v>8</v>
      </c>
      <c r="C29" s="29">
        <f t="shared" si="2"/>
        <v>7.1968567300115222E-2</v>
      </c>
      <c r="D29" s="29">
        <f>IF(ISNUMBER(B29),pd($C$7,C29,$E$9,$C$9),"")</f>
        <v>7.1847590053027044E-2</v>
      </c>
      <c r="E29" s="29">
        <f>IF(ISNUMBER($B29),pd($C$7,$C29,$E$10,$C$10),"")</f>
        <v>7.1115596305355341E-2</v>
      </c>
      <c r="F29" s="29">
        <f>IF(ISNUMBER($B29),pd($C$7,$C29,$E$11,$C$11),"")</f>
        <v>7.1843468421801546E-2</v>
      </c>
      <c r="G29" s="29">
        <f>IF(ISNUMBER($B29),pd($C$7,$C29,$E$12,$C$12),"")</f>
        <v>7.1824802238587171E-2</v>
      </c>
      <c r="H29" s="29">
        <f>IF(ISNUMBER($B29),pd($C$7,$C29,$E$13,$C$13),"")</f>
        <v>7.1716723104815555E-2</v>
      </c>
    </row>
    <row r="30" spans="2:8" x14ac:dyDescent="0.25">
      <c r="B30" s="4">
        <f t="shared" si="1"/>
        <v>9</v>
      </c>
      <c r="C30" s="28">
        <f t="shared" si="2"/>
        <v>9.5409547634999425E-2</v>
      </c>
      <c r="D30" s="28">
        <f>IF(ISNUMBER(B30),pd($C$7,C30,$E$9,$C$9),"")</f>
        <v>9.5198369196868873E-2</v>
      </c>
      <c r="E30" s="28">
        <f>IF(ISNUMBER($B30),pd($C$7,$C30,$E$10,$C$10),"")</f>
        <v>9.3976798097831771E-2</v>
      </c>
      <c r="F30" s="28">
        <f>IF(ISNUMBER($B30),pd($C$7,$C30,$E$11,$C$11),"")</f>
        <v>9.5186744301882092E-2</v>
      </c>
      <c r="G30" s="28">
        <f>IF(ISNUMBER($B30),pd($C$7,$C30,$E$12,$C$12),"")</f>
        <v>9.5154477177490412E-2</v>
      </c>
      <c r="H30" s="28">
        <f>IF(ISNUMBER($B30),pd($C$7,$C30,$E$13,$C$13),"")</f>
        <v>9.4968982570221169E-2</v>
      </c>
    </row>
    <row r="31" spans="2:8" x14ac:dyDescent="0.25">
      <c r="B31" s="5">
        <f t="shared" si="1"/>
        <v>10</v>
      </c>
      <c r="C31" s="29">
        <f t="shared" si="2"/>
        <v>0.12648552168552965</v>
      </c>
      <c r="D31" s="29">
        <f>IF(ISNUMBER(B31),pd($C$7,C31,$E$9,$C$9),"")</f>
        <v>0.12611692619442666</v>
      </c>
      <c r="E31" s="29">
        <f>IF(ISNUMBER($B31),pd($C$7,$C31,$E$10,$C$10),"")</f>
        <v>0.12407709916933289</v>
      </c>
      <c r="F31" s="29">
        <f>IF(ISNUMBER($B31),pd($C$7,$C31,$E$11,$C$11),"")</f>
        <v>0.12609084466693049</v>
      </c>
      <c r="G31" s="29">
        <f>IF(ISNUMBER($B31),pd($C$7,$C31,$E$12,$C$12),"")</f>
        <v>0.12603507441490722</v>
      </c>
      <c r="H31" s="29">
        <f>IF(ISNUMBER($B31),pd($C$7,$C31,$E$13,$C$13),"")</f>
        <v>0.1257167486887876</v>
      </c>
    </row>
    <row r="32" spans="2:8" x14ac:dyDescent="0.25">
      <c r="B32" s="4">
        <f t="shared" si="1"/>
        <v>11</v>
      </c>
      <c r="C32" s="28">
        <f t="shared" si="2"/>
        <v>0.16768329368110088</v>
      </c>
      <c r="D32" s="28">
        <f>IF(ISNUMBER(B32),pd($C$7,C32,$E$9,$C$9),"")</f>
        <v>0.16704002483611444</v>
      </c>
      <c r="E32" s="28">
        <f>IF(ISNUMBER($B32),pd($C$7,$C32,$E$10,$C$10),"")</f>
        <v>0.16363266352951095</v>
      </c>
      <c r="F32" s="28">
        <f>IF(ISNUMBER($B32),pd($C$7,$C32,$E$11,$C$11),"")</f>
        <v>0.16698697469117479</v>
      </c>
      <c r="G32" s="28">
        <f>IF(ISNUMBER($B32),pd($C$7,$C32,$E$12,$C$12),"")</f>
        <v>0.16689060415160795</v>
      </c>
      <c r="H32" s="28">
        <f>IF(ISNUMBER($B32),pd($C$7,$C32,$E$13,$C$13),"")</f>
        <v>0.16634445941664988</v>
      </c>
    </row>
    <row r="33" spans="2:8" x14ac:dyDescent="0.25">
      <c r="B33" s="5">
        <f t="shared" si="1"/>
        <v>12</v>
      </c>
      <c r="C33" s="29">
        <f t="shared" si="2"/>
        <v>0.22229964825261958</v>
      </c>
      <c r="D33" s="29">
        <f>IF(ISNUMBER(B33),pd($C$7,C33,$E$9,$C$9),"")</f>
        <v>0.22117721954693856</v>
      </c>
      <c r="E33" s="29">
        <f>IF(ISNUMBER($B33),pd($C$7,$C33,$E$10,$C$10),"")</f>
        <v>0.21548542532257189</v>
      </c>
      <c r="F33" s="29">
        <f>IF(ISNUMBER($B33),pd($C$7,$C33,$E$11,$C$11),"")</f>
        <v>0.221074924448872</v>
      </c>
      <c r="G33" s="29">
        <f>IF(ISNUMBER($B33),pd($C$7,$C33,$E$12,$C$12),"")</f>
        <v>0.22090845495046141</v>
      </c>
      <c r="H33" s="29">
        <f>IF(ISNUMBER($B33),pd($C$7,$C33,$E$13,$C$13),"")</f>
        <v>0.21997182783285013</v>
      </c>
    </row>
    <row r="34" spans="2:8" x14ac:dyDescent="0.25">
      <c r="B34" s="4">
        <f t="shared" si="1"/>
        <v>13</v>
      </c>
      <c r="C34" s="28">
        <f t="shared" si="2"/>
        <v>0.29470517025518123</v>
      </c>
      <c r="D34" s="28">
        <f>IF(ISNUMBER(B34),pd($C$7,C34,$E$9,$C$9),"")</f>
        <v>0.29274712254200519</v>
      </c>
      <c r="E34" s="28">
        <f>IF(ISNUMBER($B34),pd($C$7,$C34,$E$10,$C$10),"")</f>
        <v>0.28324319091868427</v>
      </c>
      <c r="F34" s="28">
        <f>IF(ISNUMBER($B34),pd($C$7,$C34,$E$11,$C$11),"")</f>
        <v>0.29255624018382981</v>
      </c>
      <c r="G34" s="28">
        <f>IF(ISNUMBER($B34),pd($C$7,$C34,$E$12,$C$12),"")</f>
        <v>0.29226882714809277</v>
      </c>
      <c r="H34" s="28">
        <f>IF(ISNUMBER($B34),pd($C$7,$C34,$E$13,$C$13),"")</f>
        <v>0.29066353863754291</v>
      </c>
    </row>
    <row r="35" spans="2:8" x14ac:dyDescent="0.25">
      <c r="B35" s="5">
        <f t="shared" si="1"/>
        <v>14</v>
      </c>
      <c r="C35" s="29">
        <f t="shared" si="2"/>
        <v>0.39069399370546193</v>
      </c>
      <c r="D35" s="29">
        <f>IF(ISNUMBER(B35),pd($C$7,C35,$E$9,$C$9),"")</f>
        <v>0.38727930189903093</v>
      </c>
      <c r="E35" s="29">
        <f>IF(ISNUMBER($B35),pd($C$7,$C35,$E$10,$C$10),"")</f>
        <v>0.37142494035364859</v>
      </c>
      <c r="F35" s="29">
        <f>IF(ISNUMBER($B35),pd($C$7,$C35,$E$11,$C$11),"")</f>
        <v>0.38693079819714299</v>
      </c>
      <c r="G35" s="29">
        <f>IF(ISNUMBER($B35),pd($C$7,$C35,$E$12,$C$12),"")</f>
        <v>0.38643492575365035</v>
      </c>
      <c r="H35" s="29">
        <f>IF(ISNUMBER($B35),pd($C$7,$C35,$E$13,$C$13),"")</f>
        <v>0.38368614206495338</v>
      </c>
    </row>
    <row r="36" spans="2:8" x14ac:dyDescent="0.25">
      <c r="B36" s="4">
        <f t="shared" si="1"/>
        <v>15</v>
      </c>
      <c r="C36" s="28">
        <f t="shared" si="2"/>
        <v>0.51794746792312141</v>
      </c>
      <c r="D36" s="28">
        <f>IF(ISNUMBER(B36),pd($C$7,C36,$E$9,$C$9),"")</f>
        <v>0.51199499631562428</v>
      </c>
      <c r="E36" s="28">
        <f>IF(ISNUMBER($B36),pd($C$7,$C36,$E$10,$C$10),"")</f>
        <v>0.48558954976913232</v>
      </c>
      <c r="F36" s="28">
        <f>IF(ISNUMBER($B36),pd($C$7,$C36,$E$11,$C$11),"")</f>
        <v>0.51136841378459319</v>
      </c>
      <c r="G36" s="28">
        <f>IF(ISNUMBER($B36),pd($C$7,$C36,$E$12,$C$12),"")</f>
        <v>0.51051373017646862</v>
      </c>
      <c r="H36" s="28">
        <f>IF(ISNUMBER($B36),pd($C$7,$C36,$E$13,$C$13),"")</f>
        <v>0.5058130365403527</v>
      </c>
    </row>
    <row r="37" spans="2:8" x14ac:dyDescent="0.25">
      <c r="B37" s="5">
        <f t="shared" si="1"/>
        <v>16</v>
      </c>
      <c r="C37" s="29">
        <f t="shared" si="2"/>
        <v>0.68664884500430057</v>
      </c>
      <c r="D37" s="29">
        <f>IF(ISNUMBER(B37),pd($C$7,C37,$E$9,$C$9),"")</f>
        <v>0.6762783477728288</v>
      </c>
      <c r="E37" s="29">
        <f>IF(ISNUMBER($B37),pd($C$7,$C37,$E$10,$C$10),"")</f>
        <v>0.63240786103276236</v>
      </c>
      <c r="F37" s="29">
        <f>IF(ISNUMBER($B37),pd($C$7,$C37,$E$11,$C$11),"")</f>
        <v>0.67516462162870106</v>
      </c>
      <c r="G37" s="29">
        <f>IF(ISNUMBER($B37),pd($C$7,$C37,$E$12,$C$12),"")</f>
        <v>0.67369348697978815</v>
      </c>
      <c r="H37" s="29">
        <f>IF(ISNUMBER($B37),pd($C$7,$C37,$E$13,$C$13),"")</f>
        <v>0.66566938900048034</v>
      </c>
    </row>
    <row r="38" spans="2:8" x14ac:dyDescent="0.25">
      <c r="B38" s="4">
        <f t="shared" si="1"/>
        <v>17</v>
      </c>
      <c r="C38" s="28">
        <f t="shared" si="2"/>
        <v>0.91029817799152246</v>
      </c>
      <c r="D38" s="28">
        <f>IF(ISNUMBER(B38),pd($C$7,C38,$E$9,$C$9),"")</f>
        <v>0.89224400422432382</v>
      </c>
      <c r="E38" s="28">
        <f>IF(ISNUMBER($B38),pd($C$7,$C38,$E$10,$C$10),"")</f>
        <v>0.8196109585653959</v>
      </c>
      <c r="F38" s="28">
        <f>IF(ISNUMBER($B38),pd($C$7,$C38,$E$11,$C$11),"")</f>
        <v>0.89028234085342761</v>
      </c>
      <c r="G38" s="28">
        <f>IF(ISNUMBER($B38),pd($C$7,$C38,$E$12,$C$12),"")</f>
        <v>0.88775480550732622</v>
      </c>
      <c r="H38" s="28">
        <f>IF(ISNUMBER($B38),pd($C$7,$C38,$E$13,$C$13),"")</f>
        <v>0.87409159427371541</v>
      </c>
    </row>
    <row r="39" spans="2:8" x14ac:dyDescent="0.25">
      <c r="B39" s="5">
        <f t="shared" si="1"/>
        <v>18</v>
      </c>
      <c r="C39" s="29">
        <f t="shared" si="2"/>
        <v>1.2067926406393295</v>
      </c>
      <c r="D39" s="29">
        <f>IF(ISNUMBER(B39),pd($C$7,C39,$E$9,$C$9),"")</f>
        <v>1.1753929368274096</v>
      </c>
      <c r="E39" s="29">
        <f>IF(ISNUMBER($B39),pd($C$7,$C39,$E$10,$C$10),"")</f>
        <v>1.0557109396321216</v>
      </c>
      <c r="F39" s="29">
        <f>IF(ISNUMBER($B39),pd($C$7,$C39,$E$11,$C$11),"")</f>
        <v>1.1719648365922015</v>
      </c>
      <c r="G39" s="29">
        <f>IF(ISNUMBER($B39),pd($C$7,$C39,$E$12,$C$12),"")</f>
        <v>1.1676331607787358</v>
      </c>
      <c r="H39" s="29">
        <f>IF(ISNUMBER($B39),pd($C$7,$C39,$E$13,$C$13),"")</f>
        <v>1.1444456751109058</v>
      </c>
    </row>
    <row r="40" spans="2:8" x14ac:dyDescent="0.25">
      <c r="B40" s="4">
        <f t="shared" si="1"/>
        <v>19</v>
      </c>
      <c r="C40" s="28">
        <f t="shared" si="2"/>
        <v>1.5998587196060594</v>
      </c>
      <c r="D40" s="28">
        <f>IF(ISNUMBER(B40),pd($C$7,C40,$E$9,$C$9),"")</f>
        <v>1.5453200251215711</v>
      </c>
      <c r="E40" s="28">
        <f>IF(ISNUMBER($B40),pd($C$7,$C40,$E$10,$C$10),"")</f>
        <v>1.3493478064545821</v>
      </c>
      <c r="F40" s="28">
        <f>IF(ISNUMBER($B40),pd($C$7,$C40,$E$11,$C$11),"")</f>
        <v>1.5393740707884287</v>
      </c>
      <c r="G40" s="28">
        <f>IF(ISNUMBER($B40),pd($C$7,$C40,$E$12,$C$12),"")</f>
        <v>1.5319753609117599</v>
      </c>
      <c r="H40" s="28">
        <f>IF(ISNUMBER($B40),pd($C$7,$C40,$E$13,$C$13),"")</f>
        <v>1.4927997519292349</v>
      </c>
    </row>
    <row r="41" spans="2:8" x14ac:dyDescent="0.25">
      <c r="B41" s="5">
        <f t="shared" si="1"/>
        <v>20</v>
      </c>
      <c r="C41" s="29">
        <f t="shared" si="2"/>
        <v>2.1209508879201926</v>
      </c>
      <c r="D41" s="29">
        <f>IF(ISNUMBER(B41),pd($C$7,C41,$E$9,$C$9),"")</f>
        <v>2.0263850530640934</v>
      </c>
      <c r="E41" s="29">
        <f>IF(ISNUMBER($B41),pd($C$7,$C41,$E$10,$C$10),"")</f>
        <v>1.7080819522285198</v>
      </c>
      <c r="F41" s="29">
        <f>IF(ISNUMBER($B41),pd($C$7,$C41,$E$11,$C$11),"")</f>
        <v>2.016153336822645</v>
      </c>
      <c r="G41" s="29">
        <f>IF(ISNUMBER($B41),pd($C$7,$C41,$E$12,$C$12),"")</f>
        <v>2.0035722757925627</v>
      </c>
      <c r="H41" s="29">
        <f>IF(ISNUMBER($B41),pd($C$7,$C41,$E$13,$C$13),"")</f>
        <v>1.937770710488764</v>
      </c>
    </row>
    <row r="42" spans="2:8" x14ac:dyDescent="0.25">
      <c r="B42" s="4">
        <f t="shared" si="1"/>
        <v>21</v>
      </c>
      <c r="C42" s="28">
        <f t="shared" si="2"/>
        <v>2.8117686979742329</v>
      </c>
      <c r="D42" s="28">
        <f>IF(ISNUMBER(B42),pd($C$7,C42,$E$9,$C$9),"")</f>
        <v>2.6481703477324361</v>
      </c>
      <c r="E42" s="28">
        <f>IF(ISNUMBER($B42),pd($C$7,$C42,$E$10,$C$10),"")</f>
        <v>2.1364666669026988</v>
      </c>
      <c r="F42" s="28">
        <f>IF(ISNUMBER($B42),pd($C$7,$C42,$E$11,$C$11),"")</f>
        <v>2.6307224329419165</v>
      </c>
      <c r="G42" s="28">
        <f>IF(ISNUMBER($B42),pd($C$7,$C42,$E$12,$C$12),"")</f>
        <v>2.6094539377696297</v>
      </c>
      <c r="H42" s="28">
        <f>IF(ISNUMBER($B42),pd($C$7,$C42,$E$13,$C$13),"")</f>
        <v>2.499759829935142</v>
      </c>
    </row>
    <row r="43" spans="2:8" x14ac:dyDescent="0.25">
      <c r="B43" s="5">
        <f t="shared" si="1"/>
        <v>22</v>
      </c>
      <c r="C43" s="29">
        <f t="shared" si="2"/>
        <v>3.7275937203149434</v>
      </c>
      <c r="D43" s="29">
        <f>IF(ISNUMBER(B43),pd($C$7,C43,$E$9,$C$9),"")</f>
        <v>3.4454084382527892</v>
      </c>
      <c r="E43" s="29">
        <f>IF(ISNUMBER($B43),pd($C$7,$C43,$E$10,$C$10),"")</f>
        <v>2.633386915282915</v>
      </c>
      <c r="F43" s="29">
        <f>IF(ISNUMBER($B43),pd($C$7,$C43,$E$11,$C$11),"")</f>
        <v>3.4159746583248007</v>
      </c>
      <c r="G43" s="29">
        <f>IF(ISNUMBER($B43),pd($C$7,$C43,$E$12,$C$12),"")</f>
        <v>3.3802900794269641</v>
      </c>
      <c r="H43" s="29">
        <f>IF(ISNUMBER($B43),pd($C$7,$C43,$E$13,$C$13),"")</f>
        <v>3.1991607632632482</v>
      </c>
    </row>
    <row r="44" spans="2:8" x14ac:dyDescent="0.25">
      <c r="B44" s="4">
        <f t="shared" si="1"/>
        <v>23</v>
      </c>
      <c r="C44" s="28">
        <f t="shared" si="2"/>
        <v>4.9417133613238393</v>
      </c>
      <c r="D44" s="28">
        <f>IF(ISNUMBER(B44),pd($C$7,C44,$E$9,$C$9),"")</f>
        <v>4.4568614560204258</v>
      </c>
      <c r="E44" s="28">
        <f>IF(ISNUMBER($B44),pd($C$7,$C44,$E$10,$C$10),"")</f>
        <v>3.1890701501620242</v>
      </c>
      <c r="F44" s="28">
        <f>IF(ISNUMBER($B44),pd($C$7,$C44,$E$11,$C$11),"")</f>
        <v>4.4078476617495808</v>
      </c>
      <c r="G44" s="28">
        <f>IF(ISNUMBER($B44),pd($C$7,$C44,$E$12,$C$12),"")</f>
        <v>4.3485440788900505</v>
      </c>
      <c r="H44" s="28">
        <f>IF(ISNUMBER($B44),pd($C$7,$C44,$E$13,$C$13),"")</f>
        <v>4.0529993930688288</v>
      </c>
    </row>
    <row r="45" spans="2:8" x14ac:dyDescent="0.25">
      <c r="B45" s="5">
        <f t="shared" si="1"/>
        <v>24</v>
      </c>
      <c r="C45" s="29">
        <f t="shared" si="2"/>
        <v>6.5512855685955156</v>
      </c>
      <c r="D45" s="29">
        <f>IF(ISNUMBER(B45),pd($C$7,C45,$E$9,$C$9),"")</f>
        <v>5.7223825197034257</v>
      </c>
      <c r="E45" s="29">
        <f>IF(ISNUMBER($B45),pd($C$7,$C45,$E$10,$C$10),"")</f>
        <v>3.782917616024092</v>
      </c>
      <c r="F45" s="29">
        <f>IF(ISNUMBER($B45),pd($C$7,$C45,$E$11,$C$11),"")</f>
        <v>5.6419896350822576</v>
      </c>
      <c r="G45" s="29">
        <f>IF(ISNUMBER($B45),pd($C$7,$C45,$E$12,$C$12),"")</f>
        <v>5.5445985165787954</v>
      </c>
      <c r="H45" s="29">
        <f>IF(ISNUMBER($B45),pd($C$7,$C45,$E$13,$C$13),"")</f>
        <v>5.0694648456663121</v>
      </c>
    </row>
    <row r="46" spans="2:8" x14ac:dyDescent="0.25">
      <c r="B46" s="4">
        <f t="shared" si="1"/>
        <v>25</v>
      </c>
      <c r="C46" s="28">
        <f t="shared" si="2"/>
        <v>8.6851137375135359</v>
      </c>
      <c r="D46" s="28">
        <f>IF(ISNUMBER(B46),pd($C$7,C46,$E$9,$C$9),"")</f>
        <v>7.2771602552301289</v>
      </c>
      <c r="E46" s="28">
        <f>IF(ISNUMBER($B46),pd($C$7,$C46,$E$10,$C$10),"")</f>
        <v>4.3840483637855812</v>
      </c>
      <c r="F46" s="28">
        <f>IF(ISNUMBER($B46),pd($C$7,$C46,$E$11,$C$11),"")</f>
        <v>7.1474958311117236</v>
      </c>
      <c r="G46" s="28">
        <f>IF(ISNUMBER($B46),pd($C$7,$C46,$E$12,$C$12),"")</f>
        <v>6.9898976593084647</v>
      </c>
      <c r="H46" s="28">
        <f>IF(ISNUMBER($B46),pd($C$7,$C46,$E$13,$C$13),"")</f>
        <v>6.240212295178698</v>
      </c>
    </row>
    <row r="47" spans="2:8" x14ac:dyDescent="0.25">
      <c r="B47" s="5">
        <f t="shared" si="1"/>
        <v>26</v>
      </c>
      <c r="C47" s="29">
        <f t="shared" si="2"/>
        <v>11.513953993264487</v>
      </c>
      <c r="D47" s="29">
        <f>IF(ISNUMBER(B47),pd($C$7,C47,$E$9,$C$9),"")</f>
        <v>9.1421376948840187</v>
      </c>
      <c r="E47" s="29">
        <f>IF(ISNUMBER($B47),pd($C$7,$C47,$E$10,$C$10),"")</f>
        <v>4.9562620600819116</v>
      </c>
      <c r="F47" s="29">
        <f>IF(ISNUMBER($B47),pd($C$7,$C47,$E$11,$C$11),"")</f>
        <v>8.9366650056900667</v>
      </c>
      <c r="G47" s="29">
        <f>IF(ISNUMBER($B47),pd($C$7,$C47,$E$12,$C$12),"")</f>
        <v>8.6863335879163426</v>
      </c>
      <c r="H47" s="29">
        <f>IF(ISNUMBER($B47),pd($C$7,$C47,$E$13,$C$13),"")</f>
        <v>7.5316806181596103</v>
      </c>
    </row>
    <row r="48" spans="2:8" x14ac:dyDescent="0.25">
      <c r="B48" s="4">
        <f t="shared" si="1"/>
        <v>27</v>
      </c>
      <c r="C48" s="28">
        <f t="shared" si="2"/>
        <v>15.264179671752354</v>
      </c>
      <c r="D48" s="28">
        <f>IF(ISNUMBER(B48),pd($C$7,C48,$E$9,$C$9),"")</f>
        <v>11.31020319515968</v>
      </c>
      <c r="E48" s="28">
        <f>IF(ISNUMBER($B48),pd($C$7,$C48,$E$10,$C$10),"")</f>
        <v>5.467055766161673</v>
      </c>
      <c r="F48" s="28">
        <f>IF(ISNUMBER($B48),pd($C$7,$C48,$E$11,$C$11),"")</f>
        <v>10.990513039753191</v>
      </c>
      <c r="G48" s="28">
        <f>IF(ISNUMBER($B48),pd($C$7,$C48,$E$12,$C$12),"")</f>
        <v>10.602337816068381</v>
      </c>
      <c r="H48" s="28">
        <f>IF(ISNUMBER($B48),pd($C$7,$C48,$E$13,$C$13),"")</f>
        <v>8.8792916091396883</v>
      </c>
    </row>
    <row r="49" spans="2:8" x14ac:dyDescent="0.25">
      <c r="B49" s="5">
        <f t="shared" si="1"/>
        <v>28</v>
      </c>
      <c r="C49" s="29">
        <f t="shared" si="2"/>
        <v>20.235896477251597</v>
      </c>
      <c r="D49" s="29">
        <f>IF(ISNUMBER(B49),pd($C$7,C49,$E$9,$C$9),"")</f>
        <v>13.729580641809386</v>
      </c>
      <c r="E49" s="29">
        <f>IF(ISNUMBER($B49),pd($C$7,$C49,$E$10,$C$10),"")</f>
        <v>5.8970225328028683</v>
      </c>
      <c r="F49" s="29">
        <f>IF(ISNUMBER($B49),pd($C$7,$C49,$E$11,$C$11),"")</f>
        <v>13.242463052540055</v>
      </c>
      <c r="G49" s="29">
        <f>IF(ISNUMBER($B49),pd($C$7,$C49,$E$12,$C$12),"")</f>
        <v>12.65941352761066</v>
      </c>
      <c r="H49" s="29">
        <f>IF(ISNUMBER($B49),pd($C$7,$C49,$E$13,$C$13),"")</f>
        <v>10.191096136160372</v>
      </c>
    </row>
    <row r="50" spans="2:8" x14ac:dyDescent="0.25">
      <c r="B50" s="4">
        <f t="shared" si="1"/>
        <v>29</v>
      </c>
      <c r="C50" s="28">
        <f t="shared" si="2"/>
        <v>26.826957952797294</v>
      </c>
      <c r="D50" s="28">
        <f>IF(ISNUMBER(B50),pd($C$7,C50,$E$9,$C$9),"")</f>
        <v>16.289463231851453</v>
      </c>
      <c r="E50" s="28">
        <f>IF(ISNUMBER($B50),pd($C$7,$C50,$E$10,$C$10),"")</f>
        <v>6.2443677314148243</v>
      </c>
      <c r="F50" s="28">
        <f>IF(ISNUMBER($B50),pd($C$7,$C50,$E$11,$C$11),"")</f>
        <v>15.567920158732138</v>
      </c>
      <c r="G50" s="28">
        <f>IF(ISNUMBER($B50),pd($C$7,$C50,$E$12,$C$12),"")</f>
        <v>14.728033367658456</v>
      </c>
      <c r="H50" s="28">
        <f>IF(ISNUMBER($B50),pd($C$7,$C50,$E$13,$C$13),"")</f>
        <v>11.366393871419826</v>
      </c>
    </row>
    <row r="51" spans="2:8" x14ac:dyDescent="0.25">
      <c r="B51" s="5">
        <f t="shared" si="1"/>
        <v>30</v>
      </c>
      <c r="C51" s="29">
        <f t="shared" si="2"/>
        <v>35.564803062231341</v>
      </c>
      <c r="D51" s="29">
        <f>IF(ISNUMBER(B51),pd($C$7,C51,$E$9,$C$9),"")</f>
        <v>18.81797556927561</v>
      </c>
      <c r="E51" s="29">
        <f>IF(ISNUMBER($B51),pd($C$7,$C51,$E$10,$C$10),"")</f>
        <v>6.5219192868480418</v>
      </c>
      <c r="F51" s="29">
        <f>IF(ISNUMBER($B51),pd($C$7,$C51,$E$11,$C$11),"")</f>
        <v>17.792863581654888</v>
      </c>
      <c r="G51" s="29">
        <f>IF(ISNUMBER($B51),pd($C$7,$C51,$E$12,$C$12),"")</f>
        <v>16.644863654079018</v>
      </c>
      <c r="H51" s="29">
        <f>IF(ISNUMBER($B51),pd($C$7,$C51,$E$13,$C$13),"")</f>
        <v>12.326319236707301</v>
      </c>
    </row>
    <row r="52" spans="2:8" x14ac:dyDescent="0.25">
      <c r="B52" s="4">
        <f t="shared" si="1"/>
        <v>31</v>
      </c>
      <c r="C52" s="28">
        <f t="shared" si="2"/>
        <v>47.148663634574007</v>
      </c>
      <c r="D52" s="28">
        <f>IF(ISNUMBER(B52),pd($C$7,C52,$E$9,$C$9),"")</f>
        <v>21.105805635233981</v>
      </c>
      <c r="E52" s="28">
        <f>IF(ISNUMBER($B52),pd($C$7,$C52,$E$10,$C$10),"")</f>
        <v>6.7491254178080498</v>
      </c>
      <c r="F52" s="28">
        <f>IF(ISNUMBER($B52),pd($C$7,$C52,$E$11,$C$11),"")</f>
        <v>19.732065809950264</v>
      </c>
      <c r="G52" s="28">
        <f>IF(ISNUMBER($B52),pd($C$7,$C52,$E$12,$C$12),"")</f>
        <v>18.25600859481807</v>
      </c>
      <c r="H52" s="28">
        <f>IF(ISNUMBER($B52),pd($C$7,$C52,$E$13,$C$13),"")</f>
        <v>13.041084677536714</v>
      </c>
    </row>
    <row r="53" spans="2:8" x14ac:dyDescent="0.25">
      <c r="B53" s="5">
        <f t="shared" si="1"/>
        <v>32</v>
      </c>
      <c r="C53" s="29">
        <f t="shared" si="2"/>
        <v>62.505519252739823</v>
      </c>
      <c r="D53" s="29">
        <f>IF(ISNUMBER(B53),pd($C$7,C53,$E$9,$C$9),"")</f>
        <v>22.962480490693306</v>
      </c>
      <c r="E53" s="29">
        <f>IF(ISNUMBER($B53),pd($C$7,$C53,$E$10,$C$10),"")</f>
        <v>6.944301175733445</v>
      </c>
      <c r="F53" s="29">
        <f>IF(ISNUMBER($B53),pd($C$7,$C53,$E$11,$C$11),"")</f>
        <v>21.249395648889237</v>
      </c>
      <c r="G53" s="29">
        <f>IF(ISNUMBER($B53),pd($C$7,$C53,$E$12,$C$12),"")</f>
        <v>19.470711105912837</v>
      </c>
      <c r="H53" s="29">
        <f>IF(ISNUMBER($B53),pd($C$7,$C53,$E$13,$C$13),"")</f>
        <v>13.535620364656008</v>
      </c>
    </row>
    <row r="54" spans="2:8" x14ac:dyDescent="0.25">
      <c r="B54" s="4">
        <f t="shared" si="1"/>
        <v>33</v>
      </c>
      <c r="C54" s="28">
        <f t="shared" si="2"/>
        <v>82.864277285468575</v>
      </c>
      <c r="D54" s="28">
        <f>IF(ISNUMBER(B54),pd($C$7,C54,$E$9,$C$9),"")</f>
        <v>24.288724370430927</v>
      </c>
      <c r="E54" s="28">
        <f>IF(ISNUMBER($B54),pd($C$7,$C54,$E$10,$C$10),"")</f>
        <v>7.1206613294007317</v>
      </c>
      <c r="F54" s="28">
        <f>IF(ISNUMBER($B54),pd($C$7,$C54,$E$11,$C$11),"")</f>
        <v>22.307801249559411</v>
      </c>
      <c r="G54" s="28">
        <f>IF(ISNUMBER($B54),pd($C$7,$C54,$E$12,$C$12),"")</f>
        <v>20.292459920463575</v>
      </c>
      <c r="H54" s="28">
        <f>IF(ISNUMBER($B54),pd($C$7,$C54,$E$13,$C$13),"")</f>
        <v>13.869669332524474</v>
      </c>
    </row>
    <row r="55" spans="2:8" x14ac:dyDescent="0.25">
      <c r="B55" s="5">
        <f t="shared" ref="B55:B86" si="3">IF(ROW(B55)-22&lt;$C$16,ROW(B55)-21,"")</f>
        <v>34</v>
      </c>
      <c r="C55" s="29">
        <f t="shared" ref="C55:C86" si="4">IF(ISNUMBER(B55),C54*10^(($C$6-$C$5)/($C$16-1)),0)</f>
        <v>109.85411419875601</v>
      </c>
      <c r="D55" s="29">
        <f>IF(ISNUMBER(B55),pd($C$7,C55,$E$9,$C$9),"")</f>
        <v>25.119071696322219</v>
      </c>
      <c r="E55" s="29">
        <f>IF(ISNUMBER($B55),pd($C$7,$C55,$E$10,$C$10),"")</f>
        <v>7.2861228004693084</v>
      </c>
      <c r="F55" s="29">
        <f>IF(ISNUMBER($B55),pd($C$7,$C55,$E$11,$C$11),"")</f>
        <v>22.973274330226118</v>
      </c>
      <c r="G55" s="29">
        <f>IF(ISNUMBER($B55),pd($C$7,$C55,$E$12,$C$12),"")</f>
        <v>20.804195916411409</v>
      </c>
      <c r="H55" s="29">
        <f>IF(ISNUMBER($B55),pd($C$7,$C55,$E$13,$C$13),"")</f>
        <v>14.107638711564476</v>
      </c>
    </row>
    <row r="56" spans="2:8" x14ac:dyDescent="0.25">
      <c r="B56" s="4">
        <f t="shared" si="3"/>
        <v>35</v>
      </c>
      <c r="C56" s="28">
        <f t="shared" si="4"/>
        <v>145.63484775012464</v>
      </c>
      <c r="D56" s="28">
        <f>IF(ISNUMBER(B56),pd($C$7,C56,$E$9,$C$9),"")</f>
        <v>25.593523126765319</v>
      </c>
      <c r="E56" s="28">
        <f>IF(ISNUMBER($B56),pd($C$7,$C56,$E$10,$C$10),"")</f>
        <v>7.4449038424028959</v>
      </c>
      <c r="F56" s="28">
        <f>IF(ISNUMBER($B56),pd($C$7,$C56,$E$11,$C$11),"")</f>
        <v>23.369516468656556</v>
      </c>
      <c r="G56" s="28">
        <f>IF(ISNUMBER($B56),pd($C$7,$C56,$E$12,$C$12),"")</f>
        <v>21.119297255504804</v>
      </c>
      <c r="H56" s="28">
        <f>IF(ISNUMBER($B56),pd($C$7,$C56,$E$13,$C$13),"")</f>
        <v>14.297671298428698</v>
      </c>
    </row>
    <row r="57" spans="2:8" x14ac:dyDescent="0.25">
      <c r="B57" s="5">
        <f t="shared" si="3"/>
        <v>36</v>
      </c>
      <c r="C57" s="29">
        <f t="shared" si="4"/>
        <v>193.06977288832536</v>
      </c>
      <c r="D57" s="29">
        <f>IF(ISNUMBER(B57),pd($C$7,C57,$E$9,$C$9),"")</f>
        <v>25.874542863226221</v>
      </c>
      <c r="E57" s="29">
        <f>IF(ISNUMBER($B57),pd($C$7,$C57,$E$10,$C$10),"")</f>
        <v>7.5991964005906976</v>
      </c>
      <c r="F57" s="29">
        <f>IF(ISNUMBER($B57),pd($C$7,$C57,$E$11,$C$11),"")</f>
        <v>23.618213930839993</v>
      </c>
      <c r="G57" s="29">
        <f>IF(ISNUMBER($B57),pd($C$7,$C57,$E$12,$C$12),"")</f>
        <v>21.334298604642697</v>
      </c>
      <c r="H57" s="29">
        <f>IF(ISNUMBER($B57),pd($C$7,$C57,$E$13,$C$13),"")</f>
        <v>14.466969369774663</v>
      </c>
    </row>
    <row r="58" spans="2:8" x14ac:dyDescent="0.25">
      <c r="B58" s="4">
        <f t="shared" si="3"/>
        <v>37</v>
      </c>
      <c r="C58" s="28">
        <f t="shared" si="4"/>
        <v>255.95479226995405</v>
      </c>
      <c r="D58" s="28">
        <f>IF(ISNUMBER(B58),pd($C$7,C58,$E$9,$C$9),"")</f>
        <v>26.076742548491737</v>
      </c>
      <c r="E58" s="28">
        <f>IF(ISNUMBER($B58),pd($C$7,$C58,$E$10,$C$10),"")</f>
        <v>7.750241198414674</v>
      </c>
      <c r="F58" s="28">
        <f>IF(ISNUMBER($B58),pd($C$7,$C58,$E$11,$C$11),"")</f>
        <v>23.802971789803514</v>
      </c>
      <c r="G58" s="28">
        <f>IF(ISNUMBER($B58),pd($C$7,$C58,$E$12,$C$12),"")</f>
        <v>21.508651317699222</v>
      </c>
      <c r="H58" s="28">
        <f>IF(ISNUMBER($B58),pd($C$7,$C58,$E$13,$C$13),"")</f>
        <v>14.627482268236683</v>
      </c>
    </row>
    <row r="59" spans="2:8" x14ac:dyDescent="0.25">
      <c r="B59" s="5">
        <f t="shared" si="3"/>
        <v>38</v>
      </c>
      <c r="C59" s="29">
        <f t="shared" si="4"/>
        <v>339.32217718953353</v>
      </c>
      <c r="D59" s="29">
        <f>IF(ISNUMBER(B59),pd($C$7,C59,$E$9,$C$9),"")</f>
        <v>26.252986662265791</v>
      </c>
      <c r="E59" s="29">
        <f>IF(ISNUMBER($B59),pd($C$7,$C59,$E$10,$C$10),"")</f>
        <v>7.8988494782301402</v>
      </c>
      <c r="F59" s="29">
        <f>IF(ISNUMBER($B59),pd($C$7,$C59,$E$11,$C$11),"")</f>
        <v>23.966136073753617</v>
      </c>
      <c r="G59" s="29">
        <f>IF(ISNUMBER($B59),pd($C$7,$C59,$E$12,$C$12),"")</f>
        <v>21.669575395337297</v>
      </c>
      <c r="H59" s="29">
        <f>IF(ISNUMBER($B59),pd($C$7,$C59,$E$13,$C$13),"")</f>
        <v>14.783378320185903</v>
      </c>
    </row>
    <row r="60" spans="2:8" x14ac:dyDescent="0.25">
      <c r="B60" s="4">
        <f t="shared" si="3"/>
        <v>39</v>
      </c>
      <c r="C60" s="28">
        <f t="shared" si="4"/>
        <v>449.84326689694547</v>
      </c>
      <c r="D60" s="28">
        <f>IF(ISNUMBER(B60),pd($C$7,C60,$E$9,$C$9),"")</f>
        <v>26.418905429031344</v>
      </c>
      <c r="E60" s="28">
        <f>IF(ISNUMBER($B60),pd($C$7,$C60,$E$10,$C$10),"")</f>
        <v>8.0456118262735394</v>
      </c>
      <c r="F60" s="28">
        <f>IF(ISNUMBER($B60),pd($C$7,$C60,$E$11,$C$11),"")</f>
        <v>24.123202663903935</v>
      </c>
      <c r="G60" s="28">
        <f>IF(ISNUMBER($B60),pd($C$7,$C60,$E$12,$C$12),"")</f>
        <v>21.826006482615657</v>
      </c>
      <c r="H60" s="28">
        <f>IF(ISNUMBER($B60),pd($C$7,$C60,$E$13,$C$13),"")</f>
        <v>14.935965949143704</v>
      </c>
    </row>
    <row r="61" spans="2:8" x14ac:dyDescent="0.25">
      <c r="B61" s="5">
        <f t="shared" si="3"/>
        <v>40</v>
      </c>
      <c r="C61" s="29">
        <f t="shared" si="4"/>
        <v>596.36233165946555</v>
      </c>
      <c r="D61" s="29">
        <f>IF(ISNUMBER(B61),pd($C$7,C61,$E$9,$C$9),"")</f>
        <v>26.5778311270996</v>
      </c>
      <c r="E61" s="29">
        <f>IF(ISNUMBER($B61),pd($C$7,$C61,$E$10,$C$10),"")</f>
        <v>8.1909763922034085</v>
      </c>
      <c r="F61" s="29">
        <f>IF(ISNUMBER($B61),pd($C$7,$C61,$E$11,$C$11),"")</f>
        <v>24.277725174011152</v>
      </c>
      <c r="G61" s="29">
        <f>IF(ISNUMBER($B61),pd($C$7,$C61,$E$12,$C$12),"")</f>
        <v>21.979738541467611</v>
      </c>
      <c r="H61" s="29">
        <f>IF(ISNUMBER($B61),pd($C$7,$C61,$E$13,$C$13),"")</f>
        <v>15.085850762682592</v>
      </c>
    </row>
    <row r="62" spans="2:8" x14ac:dyDescent="0.25">
      <c r="B62" s="4">
        <f t="shared" si="3"/>
        <v>41</v>
      </c>
      <c r="C62" s="28">
        <f t="shared" si="4"/>
        <v>790.60432109077169</v>
      </c>
      <c r="D62" s="28">
        <f>IF(ISNUMBER(B62),pd($C$7,C62,$E$9,$C$9),"")</f>
        <v>26.731426685192584</v>
      </c>
      <c r="E62" s="28">
        <f>IF(ISNUMBER($B62),pd($C$7,$C62,$E$10,$C$10),"")</f>
        <v>8.3352845290309308</v>
      </c>
      <c r="F62" s="28">
        <f>IF(ISNUMBER($B62),pd($C$7,$C62,$E$11,$C$11),"")</f>
        <v>24.429874002700917</v>
      </c>
      <c r="G62" s="28">
        <f>IF(ISNUMBER($B62),pd($C$7,$C62,$E$12,$C$12),"")</f>
        <v>22.130907549511321</v>
      </c>
      <c r="H62" s="28">
        <f>IF(ISNUMBER($B62),pd($C$7,$C62,$E$13,$C$13),"")</f>
        <v>15.233549406901748</v>
      </c>
    </row>
    <row r="63" spans="2:8" x14ac:dyDescent="0.25">
      <c r="B63" s="5">
        <f t="shared" si="3"/>
        <v>42</v>
      </c>
      <c r="C63" s="29">
        <f t="shared" si="4"/>
        <v>1048.1131341546882</v>
      </c>
      <c r="D63" s="29">
        <f>IF(ISNUMBER(B63),pd($C$7,C63,$E$9,$C$9),"")</f>
        <v>26.881341600062623</v>
      </c>
      <c r="E63" s="29">
        <f>IF(ISNUMBER($B63),pd($C$7,$C63,$E$10,$C$10),"")</f>
        <v>8.4787944952573788</v>
      </c>
      <c r="F63" s="29">
        <f>IF(ISNUMBER($B63),pd($C$7,$C63,$E$11,$C$11),"")</f>
        <v>24.579585657736448</v>
      </c>
      <c r="G63" s="29">
        <f>IF(ISNUMBER($B63),pd($C$7,$C63,$E$12,$C$12),"")</f>
        <v>22.27969426330219</v>
      </c>
      <c r="H63" s="29">
        <f>IF(ISNUMBER($B63),pd($C$7,$C63,$E$13,$C$13),"")</f>
        <v>15.379550638163542</v>
      </c>
    </row>
    <row r="64" spans="2:8" x14ac:dyDescent="0.25">
      <c r="B64" s="4">
        <f t="shared" si="3"/>
        <v>43</v>
      </c>
      <c r="C64" s="28">
        <f t="shared" si="4"/>
        <v>1389.4954943731409</v>
      </c>
      <c r="D64" s="28">
        <f>IF(ISNUMBER(B64),pd($C$7,C64,$E$9,$C$9),"")</f>
        <v>27.028830976219083</v>
      </c>
      <c r="E64" s="28">
        <f>IF(ISNUMBER($B64),pd($C$7,$C64,$E$10,$C$10),"")</f>
        <v>8.6217006199648836</v>
      </c>
      <c r="F64" s="28">
        <f>IF(ISNUMBER($B64),pd($C$7,$C64,$E$11,$C$11),"")</f>
        <v>24.72713027179682</v>
      </c>
      <c r="G64" s="28">
        <f>IF(ISNUMBER($B64),pd($C$7,$C64,$E$12,$C$12),"")</f>
        <v>22.426497215119099</v>
      </c>
      <c r="H64" s="28">
        <f>IF(ISNUMBER($B64),pd($C$7,$C64,$E$13,$C$13),"")</f>
        <v>15.524274109025839</v>
      </c>
    </row>
    <row r="65" spans="2:8" x14ac:dyDescent="0.25">
      <c r="B65" s="5">
        <f t="shared" si="3"/>
        <v>44</v>
      </c>
      <c r="C65" s="29">
        <f t="shared" si="4"/>
        <v>1842.0699693267204</v>
      </c>
      <c r="D65" s="29">
        <f>IF(ISNUMBER(B65),pd($C$7,C65,$E$9,$C$9),"")</f>
        <v>27.17466761774806</v>
      </c>
      <c r="E65" s="29">
        <f>IF(ISNUMBER($B65),pd($C$7,$C65,$E$10,$C$10),"")</f>
        <v>8.7641489039451397</v>
      </c>
      <c r="F65" s="29">
        <f>IF(ISNUMBER($B65),pd($C$7,$C65,$E$11,$C$11),"")</f>
        <v>24.872952251276516</v>
      </c>
      <c r="G65" s="29">
        <f>IF(ISNUMBER($B65),pd($C$7,$C65,$E$12,$C$12),"")</f>
        <v>22.571772983595228</v>
      </c>
      <c r="H65" s="29">
        <f>IF(ISNUMBER($B65),pd($C$7,$C65,$E$13,$C$13),"")</f>
        <v>15.668050172246714</v>
      </c>
    </row>
    <row r="66" spans="2:8" x14ac:dyDescent="0.25">
      <c r="B66" s="4">
        <f t="shared" si="3"/>
        <v>45</v>
      </c>
      <c r="C66" s="28">
        <f t="shared" si="4"/>
        <v>2442.0530945486571</v>
      </c>
      <c r="D66" s="28">
        <f>IF(ISNUMBER(B66),pd($C$7,C66,$E$9,$C$9),"")</f>
        <v>27.31931105804729</v>
      </c>
      <c r="E66" s="28">
        <f>IF(ISNUMBER($B66),pd($C$7,$C66,$E$10,$C$10),"")</f>
        <v>8.9062492080212596</v>
      </c>
      <c r="F66" s="28">
        <f>IF(ISNUMBER($B66),pd($C$7,$C66,$E$11,$C$11),"")</f>
        <v>25.01748782309701</v>
      </c>
      <c r="G66" s="28">
        <f>IF(ISNUMBER($B66),pd($C$7,$C66,$E$12,$C$12),"")</f>
        <v>22.715920634292623</v>
      </c>
      <c r="H66" s="28">
        <f>IF(ISNUMBER($B66),pd($C$7,$C66,$E$13,$C$13),"")</f>
        <v>15.81112609580874</v>
      </c>
    </row>
    <row r="67" spans="2:8" x14ac:dyDescent="0.25">
      <c r="B67" s="5">
        <f t="shared" si="3"/>
        <v>46</v>
      </c>
      <c r="C67" s="29">
        <f t="shared" si="4"/>
        <v>3237.4575428176522</v>
      </c>
      <c r="D67" s="29">
        <f>IF(ISNUMBER(B67),pd($C$7,C67,$E$9,$C$9),"")</f>
        <v>27.463060893497087</v>
      </c>
      <c r="E67" s="29">
        <f>IF(ISNUMBER($B67),pd($C$7,$C67,$E$10,$C$10),"")</f>
        <v>9.0480844555542603</v>
      </c>
      <c r="F67" s="29">
        <f>IF(ISNUMBER($B67),pd($C$7,$C67,$E$11,$C$11),"")</f>
        <v>25.161088073286997</v>
      </c>
      <c r="G67" s="29">
        <f>IF(ISNUMBER($B67),pd($C$7,$C67,$E$12,$C$12),"")</f>
        <v>22.859247256696165</v>
      </c>
      <c r="H67" s="29">
        <f>IF(ISNUMBER($B67),pd($C$7,$C67,$E$13,$C$13),"")</f>
        <v>15.953682962221324</v>
      </c>
    </row>
    <row r="68" spans="2:8" x14ac:dyDescent="0.25">
      <c r="B68" s="4">
        <f t="shared" si="3"/>
        <v>47</v>
      </c>
      <c r="C68" s="28">
        <f t="shared" si="4"/>
        <v>4291.934260128789</v>
      </c>
      <c r="D68" s="28">
        <f>IF(ISNUMBER(B68),pd($C$7,C68,$E$9,$C$9),"")</f>
        <v>27.606133503084489</v>
      </c>
      <c r="E68" s="28">
        <f>IF(ISNUMBER($B68),pd($C$7,$C68,$E$10,$C$10),"")</f>
        <v>9.1897174543151809</v>
      </c>
      <c r="F68" s="28">
        <f>IF(ISNUMBER($B68),pd($C$7,$C68,$E$11,$C$11),"")</f>
        <v>25.3040115338524</v>
      </c>
      <c r="G68" s="28">
        <f>IF(ISNUMBER($B68),pd($C$7,$C68,$E$12,$C$12),"")</f>
        <v>23.001976021805906</v>
      </c>
      <c r="H68" s="28">
        <f>IF(ISNUMBER($B68),pd($C$7,$C68,$E$13,$C$13),"")</f>
        <v>16.095852856273126</v>
      </c>
    </row>
    <row r="69" spans="2:8" x14ac:dyDescent="0.25">
      <c r="B69" s="5">
        <f t="shared" si="3"/>
        <v>48</v>
      </c>
      <c r="C69" s="29">
        <f t="shared" si="4"/>
        <v>5689.8660290183116</v>
      </c>
      <c r="D69" s="29">
        <f>IF(ISNUMBER(B69),pd($C$7,C69,$E$9,$C$9),"")</f>
        <v>27.748692996962603</v>
      </c>
      <c r="E69" s="29">
        <f>IF(ISNUMBER($B69),pd($C$7,$C69,$E$10,$C$10),"")</f>
        <v>9.3311959259351571</v>
      </c>
      <c r="F69" s="29">
        <f>IF(ISNUMBER($B69),pd($C$7,$C69,$E$11,$C$11),"")</f>
        <v>25.446442207993346</v>
      </c>
      <c r="G69" s="29">
        <f>IF(ISNUMBER($B69),pd($C$7,$C69,$E$12,$C$12),"")</f>
        <v>23.144266161674096</v>
      </c>
      <c r="H69" s="29">
        <f>IF(ISNUMBER($B69),pd($C$7,$C69,$E$13,$C$13),"")</f>
        <v>16.237732615393174</v>
      </c>
    </row>
    <row r="70" spans="2:8" x14ac:dyDescent="0.25">
      <c r="B70" s="4">
        <f t="shared" si="3"/>
        <v>49</v>
      </c>
      <c r="C70" s="28">
        <f t="shared" si="4"/>
        <v>7543.1200633546378</v>
      </c>
      <c r="D70" s="28">
        <f>IF(ISNUMBER(B70),pd($C$7,C70,$E$9,$C$9),"")</f>
        <v>27.890864695468565</v>
      </c>
      <c r="E70" s="28">
        <f>IF(ISNUMBER($B70),pd($C$7,$C70,$E$10,$C$10),"")</f>
        <v>9.4725562222613462</v>
      </c>
      <c r="F70" s="28">
        <f>IF(ISNUMBER($B70),pd($C$7,$C70,$E$11,$C$11),"")</f>
        <v>25.588510483863061</v>
      </c>
      <c r="G70" s="28">
        <f>IF(ISNUMBER($B70),pd($C$7,$C70,$E$12,$C$12),"")</f>
        <v>23.286231558885127</v>
      </c>
      <c r="H70" s="28">
        <f>IF(ISNUMBER($B70),pd($C$7,$C70,$E$13,$C$13),"")</f>
        <v>16.379393824752629</v>
      </c>
    </row>
    <row r="71" spans="2:8" x14ac:dyDescent="0.25">
      <c r="B71" s="5">
        <f t="shared" si="3"/>
        <v>50</v>
      </c>
      <c r="C71" s="29">
        <f t="shared" si="4"/>
        <v>10000.000000000027</v>
      </c>
      <c r="D71" s="29">
        <f>IF(ISNUMBER(B71),pd($C$7,C71,$E$9,$C$9),"")</f>
        <v>28.032743826540283</v>
      </c>
      <c r="E71" s="29">
        <f>IF(ISNUMBER($B71),pd($C$7,$C71,$E$10,$C$10),"")</f>
        <v>9.6138260876971664</v>
      </c>
      <c r="F71" s="29">
        <f>IF(ISNUMBER($B71),pd($C$7,$C71,$E$11,$C$11),"")</f>
        <v>25.730309680319944</v>
      </c>
      <c r="G71" s="29">
        <f>IF(ISNUMBER($B71),pd($C$7,$C71,$E$12,$C$12),"")</f>
        <v>23.427954592333855</v>
      </c>
      <c r="H71" s="29">
        <f>IF(ISNUMBER($B71),pd($C$7,$C71,$E$13,$C$13),"")</f>
        <v>16.520889835285356</v>
      </c>
    </row>
    <row r="72" spans="2:8" x14ac:dyDescent="0.25">
      <c r="B72" s="4" t="str">
        <f t="shared" si="3"/>
        <v/>
      </c>
      <c r="C72" s="28">
        <f t="shared" si="4"/>
        <v>0</v>
      </c>
      <c r="D72" s="28" t="str">
        <f>IF(ISNUMBER(B72),pd($C$7,C72,$E$9,$C$9),"")</f>
        <v/>
      </c>
      <c r="E72" s="28" t="str">
        <f>IF(ISNUMBER($B72),pd($C$7,$C72,$E$10,$C$10),"")</f>
        <v/>
      </c>
      <c r="F72" s="28" t="str">
        <f>IF(ISNUMBER($B72),pd($C$7,$C72,$E$11,$C$11),"")</f>
        <v/>
      </c>
      <c r="G72" s="28" t="str">
        <f>IF(ISNUMBER($B72),pd($C$7,$C72,$E$12,$C$12),"")</f>
        <v/>
      </c>
      <c r="H72" s="28" t="str">
        <f>IF(ISNUMBER($B72),pd($C$7,$C72,$E$13,$C$13),"")</f>
        <v/>
      </c>
    </row>
    <row r="73" spans="2:8" x14ac:dyDescent="0.25">
      <c r="B73" s="5" t="str">
        <f t="shared" si="3"/>
        <v/>
      </c>
      <c r="C73" s="29">
        <f t="shared" si="4"/>
        <v>0</v>
      </c>
      <c r="D73" s="29" t="str">
        <f>IF(ISNUMBER(B73),pd($C$7,C73,$E$9,$C$9),"")</f>
        <v/>
      </c>
      <c r="E73" s="29" t="str">
        <f>IF(ISNUMBER($B73),pd($C$7,$C73,$E$10,$C$10),"")</f>
        <v/>
      </c>
      <c r="F73" s="29" t="str">
        <f>IF(ISNUMBER($B73),pd($C$7,$C73,$E$11,$C$11),"")</f>
        <v/>
      </c>
      <c r="G73" s="29" t="str">
        <f>IF(ISNUMBER($B73),pd($C$7,$C73,$E$12,$C$12),"")</f>
        <v/>
      </c>
      <c r="H73" s="29" t="str">
        <f>IF(ISNUMBER($B73),pd($C$7,$C73,$E$13,$C$13),"")</f>
        <v/>
      </c>
    </row>
    <row r="74" spans="2:8" x14ac:dyDescent="0.25">
      <c r="B74" s="4" t="str">
        <f t="shared" si="3"/>
        <v/>
      </c>
      <c r="C74" s="28">
        <f t="shared" si="4"/>
        <v>0</v>
      </c>
      <c r="D74" s="28" t="str">
        <f>IF(ISNUMBER(B74),pd($C$7,C74,$E$9,$C$9),"")</f>
        <v/>
      </c>
      <c r="E74" s="28" t="str">
        <f>IF(ISNUMBER($B74),pd($C$7,$C74,$E$10,$C$10),"")</f>
        <v/>
      </c>
      <c r="F74" s="28" t="str">
        <f>IF(ISNUMBER($B74),pd($C$7,$C74,$E$11,$C$11),"")</f>
        <v/>
      </c>
      <c r="G74" s="28" t="str">
        <f>IF(ISNUMBER($B74),pd($C$7,$C74,$E$12,$C$12),"")</f>
        <v/>
      </c>
      <c r="H74" s="28" t="str">
        <f>IF(ISNUMBER($B74),pd($C$7,$C74,$E$13,$C$13),"")</f>
        <v/>
      </c>
    </row>
    <row r="75" spans="2:8" x14ac:dyDescent="0.25">
      <c r="B75" s="5" t="str">
        <f t="shared" si="3"/>
        <v/>
      </c>
      <c r="C75" s="29">
        <f t="shared" si="4"/>
        <v>0</v>
      </c>
      <c r="D75" s="29" t="str">
        <f>IF(ISNUMBER(B75),pd($C$7,C75,$E$9,$C$9),"")</f>
        <v/>
      </c>
      <c r="E75" s="29" t="str">
        <f>IF(ISNUMBER($B75),pd($C$7,$C75,$E$10,$C$10),"")</f>
        <v/>
      </c>
      <c r="F75" s="29" t="str">
        <f>IF(ISNUMBER($B75),pd($C$7,$C75,$E$11,$C$11),"")</f>
        <v/>
      </c>
      <c r="G75" s="29" t="str">
        <f>IF(ISNUMBER($B75),pd($C$7,$C75,$E$12,$C$12),"")</f>
        <v/>
      </c>
      <c r="H75" s="29" t="str">
        <f>IF(ISNUMBER($B75),pd($C$7,$C75,$E$13,$C$13),"")</f>
        <v/>
      </c>
    </row>
    <row r="76" spans="2:8" x14ac:dyDescent="0.25">
      <c r="B76" s="4" t="str">
        <f t="shared" si="3"/>
        <v/>
      </c>
      <c r="C76" s="28">
        <f t="shared" si="4"/>
        <v>0</v>
      </c>
      <c r="D76" s="28" t="str">
        <f>IF(ISNUMBER(B76),pd($C$7,C76,$E$9,$C$9),"")</f>
        <v/>
      </c>
      <c r="E76" s="28" t="str">
        <f>IF(ISNUMBER($B76),pd($C$7,$C76,$E$10,$C$10),"")</f>
        <v/>
      </c>
      <c r="F76" s="28" t="str">
        <f>IF(ISNUMBER($B76),pd($C$7,$C76,$E$11,$C$11),"")</f>
        <v/>
      </c>
      <c r="G76" s="28" t="str">
        <f>IF(ISNUMBER($B76),pd($C$7,$C76,$E$12,$C$12),"")</f>
        <v/>
      </c>
      <c r="H76" s="28" t="str">
        <f>IF(ISNUMBER($B76),pd($C$7,$C76,$E$13,$C$13),"")</f>
        <v/>
      </c>
    </row>
    <row r="77" spans="2:8" x14ac:dyDescent="0.25">
      <c r="B77" s="5" t="str">
        <f t="shared" si="3"/>
        <v/>
      </c>
      <c r="C77" s="29">
        <f t="shared" si="4"/>
        <v>0</v>
      </c>
      <c r="D77" s="29" t="str">
        <f>IF(ISNUMBER(B77),pd($C$7,C77,$E$9,$C$9),"")</f>
        <v/>
      </c>
      <c r="E77" s="29" t="str">
        <f>IF(ISNUMBER($B77),pd($C$7,$C77,$E$10,$C$10),"")</f>
        <v/>
      </c>
      <c r="F77" s="29" t="str">
        <f>IF(ISNUMBER($B77),pd($C$7,$C77,$E$11,$C$11),"")</f>
        <v/>
      </c>
      <c r="G77" s="29" t="str">
        <f>IF(ISNUMBER($B77),pd($C$7,$C77,$E$12,$C$12),"")</f>
        <v/>
      </c>
      <c r="H77" s="29" t="str">
        <f>IF(ISNUMBER($B77),pd($C$7,$C77,$E$13,$C$13),"")</f>
        <v/>
      </c>
    </row>
    <row r="78" spans="2:8" x14ac:dyDescent="0.25">
      <c r="B78" s="4" t="str">
        <f t="shared" si="3"/>
        <v/>
      </c>
      <c r="C78" s="28">
        <f t="shared" si="4"/>
        <v>0</v>
      </c>
      <c r="D78" s="28" t="str">
        <f>IF(ISNUMBER(B78),pd($C$7,C78,$E$9,$C$9),"")</f>
        <v/>
      </c>
      <c r="E78" s="28" t="str">
        <f>IF(ISNUMBER($B78),pd($C$7,$C78,$E$10,$C$10),"")</f>
        <v/>
      </c>
      <c r="F78" s="28" t="str">
        <f>IF(ISNUMBER($B78),pd($C$7,$C78,$E$11,$C$11),"")</f>
        <v/>
      </c>
      <c r="G78" s="28" t="str">
        <f>IF(ISNUMBER($B78),pd($C$7,$C78,$E$12,$C$12),"")</f>
        <v/>
      </c>
      <c r="H78" s="28" t="str">
        <f>IF(ISNUMBER($B78),pd($C$7,$C78,$E$13,$C$13),"")</f>
        <v/>
      </c>
    </row>
    <row r="79" spans="2:8" x14ac:dyDescent="0.25">
      <c r="B79" s="5" t="str">
        <f t="shared" si="3"/>
        <v/>
      </c>
      <c r="C79" s="29">
        <f t="shared" si="4"/>
        <v>0</v>
      </c>
      <c r="D79" s="29" t="str">
        <f>IF(ISNUMBER(B79),pd($C$7,C79,$E$9,$C$9),"")</f>
        <v/>
      </c>
      <c r="E79" s="29" t="str">
        <f>IF(ISNUMBER($B79),pd($C$7,$C79,$E$10,$C$10),"")</f>
        <v/>
      </c>
      <c r="F79" s="29" t="str">
        <f>IF(ISNUMBER($B79),pd($C$7,$C79,$E$11,$C$11),"")</f>
        <v/>
      </c>
      <c r="G79" s="29" t="str">
        <f>IF(ISNUMBER($B79),pd($C$7,$C79,$E$12,$C$12),"")</f>
        <v/>
      </c>
      <c r="H79" s="29" t="str">
        <f>IF(ISNUMBER($B79),pd($C$7,$C79,$E$13,$C$13),"")</f>
        <v/>
      </c>
    </row>
    <row r="80" spans="2:8" x14ac:dyDescent="0.25">
      <c r="B80" s="4" t="str">
        <f t="shared" si="3"/>
        <v/>
      </c>
      <c r="C80" s="28">
        <f t="shared" si="4"/>
        <v>0</v>
      </c>
      <c r="D80" s="28" t="str">
        <f>IF(ISNUMBER(B80),pd($C$7,C80,$E$9,$C$9),"")</f>
        <v/>
      </c>
      <c r="E80" s="28" t="str">
        <f>IF(ISNUMBER($B80),pd($C$7,$C80,$E$10,$C$10),"")</f>
        <v/>
      </c>
      <c r="F80" s="28" t="str">
        <f>IF(ISNUMBER($B80),pd($C$7,$C80,$E$11,$C$11),"")</f>
        <v/>
      </c>
      <c r="G80" s="28" t="str">
        <f>IF(ISNUMBER($B80),pd($C$7,$C80,$E$12,$C$12),"")</f>
        <v/>
      </c>
      <c r="H80" s="28" t="str">
        <f>IF(ISNUMBER($B80),pd($C$7,$C80,$E$13,$C$13),"")</f>
        <v/>
      </c>
    </row>
    <row r="81" spans="2:8" x14ac:dyDescent="0.25">
      <c r="B81" s="5" t="str">
        <f t="shared" si="3"/>
        <v/>
      </c>
      <c r="C81" s="29">
        <f t="shared" si="4"/>
        <v>0</v>
      </c>
      <c r="D81" s="29" t="str">
        <f>IF(ISNUMBER(B81),pd($C$7,C81,$E$9,$C$9),"")</f>
        <v/>
      </c>
      <c r="E81" s="29" t="str">
        <f>IF(ISNUMBER($B81),pd($C$7,$C81,$E$10,$C$10),"")</f>
        <v/>
      </c>
      <c r="F81" s="29" t="str">
        <f>IF(ISNUMBER($B81),pd($C$7,$C81,$E$11,$C$11),"")</f>
        <v/>
      </c>
      <c r="G81" s="29" t="str">
        <f>IF(ISNUMBER($B81),pd($C$7,$C81,$E$12,$C$12),"")</f>
        <v/>
      </c>
      <c r="H81" s="29" t="str">
        <f>IF(ISNUMBER($B81),pd($C$7,$C81,$E$13,$C$13),"")</f>
        <v/>
      </c>
    </row>
    <row r="82" spans="2:8" x14ac:dyDescent="0.25">
      <c r="B82" s="4" t="str">
        <f t="shared" si="3"/>
        <v/>
      </c>
      <c r="C82" s="28">
        <f t="shared" si="4"/>
        <v>0</v>
      </c>
      <c r="D82" s="28" t="str">
        <f>IF(ISNUMBER(B82),pd($C$7,C82,$E$9,$C$9),"")</f>
        <v/>
      </c>
      <c r="E82" s="28" t="str">
        <f>IF(ISNUMBER($B82),pd($C$7,$C82,$E$10,$C$10),"")</f>
        <v/>
      </c>
      <c r="F82" s="28" t="str">
        <f>IF(ISNUMBER($B82),pd($C$7,$C82,$E$11,$C$11),"")</f>
        <v/>
      </c>
      <c r="G82" s="28" t="str">
        <f>IF(ISNUMBER($B82),pd($C$7,$C82,$E$12,$C$12),"")</f>
        <v/>
      </c>
      <c r="H82" s="28" t="str">
        <f>IF(ISNUMBER($B82),pd($C$7,$C82,$E$13,$C$13),"")</f>
        <v/>
      </c>
    </row>
    <row r="83" spans="2:8" x14ac:dyDescent="0.25">
      <c r="B83" s="5" t="str">
        <f t="shared" si="3"/>
        <v/>
      </c>
      <c r="C83" s="29">
        <f t="shared" si="4"/>
        <v>0</v>
      </c>
      <c r="D83" s="29" t="str">
        <f>IF(ISNUMBER(B83),pd($C$7,C83,$E$9,$C$9),"")</f>
        <v/>
      </c>
      <c r="E83" s="29" t="str">
        <f>IF(ISNUMBER($B83),pd($C$7,$C83,$E$10,$C$10),"")</f>
        <v/>
      </c>
      <c r="F83" s="29" t="str">
        <f>IF(ISNUMBER($B83),pd($C$7,$C83,$E$11,$C$11),"")</f>
        <v/>
      </c>
      <c r="G83" s="29" t="str">
        <f>IF(ISNUMBER($B83),pd($C$7,$C83,$E$12,$C$12),"")</f>
        <v/>
      </c>
      <c r="H83" s="29" t="str">
        <f>IF(ISNUMBER($B83),pd($C$7,$C83,$E$13,$C$13),"")</f>
        <v/>
      </c>
    </row>
    <row r="84" spans="2:8" x14ac:dyDescent="0.25">
      <c r="B84" s="4" t="str">
        <f t="shared" si="3"/>
        <v/>
      </c>
      <c r="C84" s="28">
        <f t="shared" si="4"/>
        <v>0</v>
      </c>
      <c r="D84" s="28" t="str">
        <f>IF(ISNUMBER(B84),pd($C$7,C84,$E$9,$C$9),"")</f>
        <v/>
      </c>
      <c r="E84" s="28" t="str">
        <f>IF(ISNUMBER($B84),pd($C$7,$C84,$E$10,$C$10),"")</f>
        <v/>
      </c>
      <c r="F84" s="28" t="str">
        <f>IF(ISNUMBER($B84),pd($C$7,$C84,$E$11,$C$11),"")</f>
        <v/>
      </c>
      <c r="G84" s="28" t="str">
        <f>IF(ISNUMBER($B84),pd($C$7,$C84,$E$12,$C$12),"")</f>
        <v/>
      </c>
      <c r="H84" s="28" t="str">
        <f>IF(ISNUMBER($B84),pd($C$7,$C84,$E$13,$C$13),"")</f>
        <v/>
      </c>
    </row>
    <row r="85" spans="2:8" x14ac:dyDescent="0.25">
      <c r="B85" s="5" t="str">
        <f t="shared" si="3"/>
        <v/>
      </c>
      <c r="C85" s="29">
        <f t="shared" si="4"/>
        <v>0</v>
      </c>
      <c r="D85" s="29" t="str">
        <f>IF(ISNUMBER(B85),pd($C$7,C85,$E$9,$C$9),"")</f>
        <v/>
      </c>
      <c r="E85" s="29" t="str">
        <f>IF(ISNUMBER($B85),pd($C$7,$C85,$E$10,$C$10),"")</f>
        <v/>
      </c>
      <c r="F85" s="29" t="str">
        <f>IF(ISNUMBER($B85),pd($C$7,$C85,$E$11,$C$11),"")</f>
        <v/>
      </c>
      <c r="G85" s="29" t="str">
        <f>IF(ISNUMBER($B85),pd($C$7,$C85,$E$12,$C$12),"")</f>
        <v/>
      </c>
      <c r="H85" s="29" t="str">
        <f>IF(ISNUMBER($B85),pd($C$7,$C85,$E$13,$C$13),"")</f>
        <v/>
      </c>
    </row>
    <row r="86" spans="2:8" x14ac:dyDescent="0.25">
      <c r="B86" s="4" t="str">
        <f t="shared" si="3"/>
        <v/>
      </c>
      <c r="C86" s="28">
        <f t="shared" si="4"/>
        <v>0</v>
      </c>
      <c r="D86" s="28" t="str">
        <f>IF(ISNUMBER(B86),pd($C$7,C86,$E$9,$C$9),"")</f>
        <v/>
      </c>
      <c r="E86" s="28" t="str">
        <f>IF(ISNUMBER($B86),pd($C$7,$C86,$E$10,$C$10),"")</f>
        <v/>
      </c>
      <c r="F86" s="28" t="str">
        <f>IF(ISNUMBER($B86),pd($C$7,$C86,$E$11,$C$11),"")</f>
        <v/>
      </c>
      <c r="G86" s="28" t="str">
        <f>IF(ISNUMBER($B86),pd($C$7,$C86,$E$12,$C$12),"")</f>
        <v/>
      </c>
      <c r="H86" s="28" t="str">
        <f>IF(ISNUMBER($B86),pd($C$7,$C86,$E$13,$C$13),"")</f>
        <v/>
      </c>
    </row>
    <row r="87" spans="2:8" x14ac:dyDescent="0.25">
      <c r="B87" s="5" t="str">
        <f t="shared" ref="B87:B121" si="5">IF(ROW(B87)-22&lt;$C$16,ROW(B87)-21,"")</f>
        <v/>
      </c>
      <c r="C87" s="29">
        <f t="shared" ref="C87:C118" si="6">IF(ISNUMBER(B87),C86*10^(($C$6-$C$5)/($C$16-1)),0)</f>
        <v>0</v>
      </c>
      <c r="D87" s="29" t="str">
        <f>IF(ISNUMBER(B87),pd($C$7,C87,$E$9,$C$9),"")</f>
        <v/>
      </c>
      <c r="E87" s="29" t="str">
        <f>IF(ISNUMBER($B87),pd($C$7,$C87,$E$10,$C$10),"")</f>
        <v/>
      </c>
      <c r="F87" s="29" t="str">
        <f>IF(ISNUMBER($B87),pd($C$7,$C87,$E$11,$C$11),"")</f>
        <v/>
      </c>
      <c r="G87" s="29" t="str">
        <f>IF(ISNUMBER($B87),pd($C$7,$C87,$E$12,$C$12),"")</f>
        <v/>
      </c>
      <c r="H87" s="29" t="str">
        <f>IF(ISNUMBER($B87),pd($C$7,$C87,$E$13,$C$13),"")</f>
        <v/>
      </c>
    </row>
    <row r="88" spans="2:8" x14ac:dyDescent="0.25">
      <c r="B88" s="4" t="str">
        <f t="shared" si="5"/>
        <v/>
      </c>
      <c r="C88" s="28">
        <f t="shared" si="6"/>
        <v>0</v>
      </c>
      <c r="D88" s="28" t="str">
        <f>IF(ISNUMBER(B88),pd($C$7,C88,$E$9,$C$9),"")</f>
        <v/>
      </c>
      <c r="E88" s="28" t="str">
        <f>IF(ISNUMBER($B88),pd($C$7,$C88,$E$10,$C$10),"")</f>
        <v/>
      </c>
      <c r="F88" s="28" t="str">
        <f>IF(ISNUMBER($B88),pd($C$7,$C88,$E$11,$C$11),"")</f>
        <v/>
      </c>
      <c r="G88" s="28" t="str">
        <f>IF(ISNUMBER($B88),pd($C$7,$C88,$E$12,$C$12),"")</f>
        <v/>
      </c>
      <c r="H88" s="28" t="str">
        <f>IF(ISNUMBER($B88),pd($C$7,$C88,$E$13,$C$13),"")</f>
        <v/>
      </c>
    </row>
    <row r="89" spans="2:8" x14ac:dyDescent="0.25">
      <c r="B89" s="5" t="str">
        <f t="shared" si="5"/>
        <v/>
      </c>
      <c r="C89" s="29">
        <f t="shared" si="6"/>
        <v>0</v>
      </c>
      <c r="D89" s="29" t="str">
        <f>IF(ISNUMBER(B89),pd($C$7,C89,$E$9,$C$9),"")</f>
        <v/>
      </c>
      <c r="E89" s="29" t="str">
        <f>IF(ISNUMBER($B89),pd($C$7,$C89,$E$10,$C$10),"")</f>
        <v/>
      </c>
      <c r="F89" s="29" t="str">
        <f>IF(ISNUMBER($B89),pd($C$7,$C89,$E$11,$C$11),"")</f>
        <v/>
      </c>
      <c r="G89" s="29" t="str">
        <f>IF(ISNUMBER($B89),pd($C$7,$C89,$E$12,$C$12),"")</f>
        <v/>
      </c>
      <c r="H89" s="29" t="str">
        <f>IF(ISNUMBER($B89),pd($C$7,$C89,$E$13,$C$13),"")</f>
        <v/>
      </c>
    </row>
    <row r="90" spans="2:8" x14ac:dyDescent="0.25">
      <c r="B90" s="4" t="str">
        <f t="shared" si="5"/>
        <v/>
      </c>
      <c r="C90" s="28">
        <f t="shared" si="6"/>
        <v>0</v>
      </c>
      <c r="D90" s="28" t="str">
        <f>IF(ISNUMBER(B90),pd($C$7,C90,$E$9,$C$9),"")</f>
        <v/>
      </c>
      <c r="E90" s="28" t="str">
        <f>IF(ISNUMBER($B90),pd($C$7,$C90,$E$10,$C$10),"")</f>
        <v/>
      </c>
      <c r="F90" s="28" t="str">
        <f>IF(ISNUMBER($B90),pd($C$7,$C90,$E$11,$C$11),"")</f>
        <v/>
      </c>
      <c r="G90" s="28" t="str">
        <f>IF(ISNUMBER($B90),pd($C$7,$C90,$E$12,$C$12),"")</f>
        <v/>
      </c>
      <c r="H90" s="28" t="str">
        <f>IF(ISNUMBER($B90),pd($C$7,$C90,$E$13,$C$13),"")</f>
        <v/>
      </c>
    </row>
    <row r="91" spans="2:8" x14ac:dyDescent="0.25">
      <c r="B91" s="5" t="str">
        <f t="shared" si="5"/>
        <v/>
      </c>
      <c r="C91" s="29">
        <f t="shared" si="6"/>
        <v>0</v>
      </c>
      <c r="D91" s="29" t="str">
        <f>IF(ISNUMBER(B91),pd($C$7,C91,$E$9,$C$9),"")</f>
        <v/>
      </c>
      <c r="E91" s="29" t="str">
        <f>IF(ISNUMBER($B91),pd($C$7,$C91,$E$10,$C$10),"")</f>
        <v/>
      </c>
      <c r="F91" s="29" t="str">
        <f>IF(ISNUMBER($B91),pd($C$7,$C91,$E$11,$C$11),"")</f>
        <v/>
      </c>
      <c r="G91" s="29" t="str">
        <f>IF(ISNUMBER($B91),pd($C$7,$C91,$E$12,$C$12),"")</f>
        <v/>
      </c>
      <c r="H91" s="29" t="str">
        <f>IF(ISNUMBER($B91),pd($C$7,$C91,$E$13,$C$13),"")</f>
        <v/>
      </c>
    </row>
    <row r="92" spans="2:8" x14ac:dyDescent="0.25">
      <c r="B92" s="4" t="str">
        <f t="shared" si="5"/>
        <v/>
      </c>
      <c r="C92" s="28">
        <f t="shared" si="6"/>
        <v>0</v>
      </c>
      <c r="D92" s="28" t="str">
        <f>IF(ISNUMBER(B92),pd($C$7,C92,$E$9,$C$9),"")</f>
        <v/>
      </c>
      <c r="E92" s="28" t="str">
        <f>IF(ISNUMBER($B92),pd($C$7,$C92,$E$10,$C$10),"")</f>
        <v/>
      </c>
      <c r="F92" s="28" t="str">
        <f>IF(ISNUMBER($B92),pd($C$7,$C92,$E$11,$C$11),"")</f>
        <v/>
      </c>
      <c r="G92" s="28" t="str">
        <f>IF(ISNUMBER($B92),pd($C$7,$C92,$E$12,$C$12),"")</f>
        <v/>
      </c>
      <c r="H92" s="28" t="str">
        <f>IF(ISNUMBER($B92),pd($C$7,$C92,$E$13,$C$13),"")</f>
        <v/>
      </c>
    </row>
    <row r="93" spans="2:8" x14ac:dyDescent="0.25">
      <c r="B93" s="5" t="str">
        <f t="shared" si="5"/>
        <v/>
      </c>
      <c r="C93" s="29">
        <f t="shared" si="6"/>
        <v>0</v>
      </c>
      <c r="D93" s="29" t="str">
        <f>IF(ISNUMBER(B93),pd($C$7,C93,$E$9,$C$9),"")</f>
        <v/>
      </c>
      <c r="E93" s="29" t="str">
        <f>IF(ISNUMBER($B93),pd($C$7,$C93,$E$10,$C$10),"")</f>
        <v/>
      </c>
      <c r="F93" s="29" t="str">
        <f>IF(ISNUMBER($B93),pd($C$7,$C93,$E$11,$C$11),"")</f>
        <v/>
      </c>
      <c r="G93" s="29" t="str">
        <f>IF(ISNUMBER($B93),pd($C$7,$C93,$E$12,$C$12),"")</f>
        <v/>
      </c>
      <c r="H93" s="29" t="str">
        <f>IF(ISNUMBER($B93),pd($C$7,$C93,$E$13,$C$13),"")</f>
        <v/>
      </c>
    </row>
    <row r="94" spans="2:8" x14ac:dyDescent="0.25">
      <c r="B94" s="4" t="str">
        <f t="shared" si="5"/>
        <v/>
      </c>
      <c r="C94" s="28">
        <f t="shared" si="6"/>
        <v>0</v>
      </c>
      <c r="D94" s="28" t="str">
        <f>IF(ISNUMBER(B94),pd($C$7,C94,$E$9,$C$9),"")</f>
        <v/>
      </c>
      <c r="E94" s="28" t="str">
        <f>IF(ISNUMBER($B94),pd($C$7,$C94,$E$10,$C$10),"")</f>
        <v/>
      </c>
      <c r="F94" s="28" t="str">
        <f>IF(ISNUMBER($B94),pd($C$7,$C94,$E$11,$C$11),"")</f>
        <v/>
      </c>
      <c r="G94" s="28" t="str">
        <f>IF(ISNUMBER($B94),pd($C$7,$C94,$E$12,$C$12),"")</f>
        <v/>
      </c>
      <c r="H94" s="28" t="str">
        <f>IF(ISNUMBER($B94),pd($C$7,$C94,$E$13,$C$13),"")</f>
        <v/>
      </c>
    </row>
    <row r="95" spans="2:8" x14ac:dyDescent="0.25">
      <c r="B95" s="5" t="str">
        <f t="shared" si="5"/>
        <v/>
      </c>
      <c r="C95" s="29">
        <f t="shared" si="6"/>
        <v>0</v>
      </c>
      <c r="D95" s="29" t="str">
        <f>IF(ISNUMBER(B95),pd($C$7,C95,$E$9,$C$9),"")</f>
        <v/>
      </c>
      <c r="E95" s="29" t="str">
        <f>IF(ISNUMBER($B95),pd($C$7,$C95,$E$10,$C$10),"")</f>
        <v/>
      </c>
      <c r="F95" s="29" t="str">
        <f>IF(ISNUMBER($B95),pd($C$7,$C95,$E$11,$C$11),"")</f>
        <v/>
      </c>
      <c r="G95" s="29" t="str">
        <f>IF(ISNUMBER($B95),pd($C$7,$C95,$E$12,$C$12),"")</f>
        <v/>
      </c>
      <c r="H95" s="29" t="str">
        <f>IF(ISNUMBER($B95),pd($C$7,$C95,$E$13,$C$13),"")</f>
        <v/>
      </c>
    </row>
    <row r="96" spans="2:8" x14ac:dyDescent="0.25">
      <c r="B96" s="4" t="str">
        <f t="shared" si="5"/>
        <v/>
      </c>
      <c r="C96" s="28">
        <f t="shared" si="6"/>
        <v>0</v>
      </c>
      <c r="D96" s="28" t="str">
        <f>IF(ISNUMBER(B96),pd($C$7,C96,$E$9,$C$9),"")</f>
        <v/>
      </c>
      <c r="E96" s="28" t="str">
        <f>IF(ISNUMBER($B96),pd($C$7,$C96,$E$10,$C$10),"")</f>
        <v/>
      </c>
      <c r="F96" s="28" t="str">
        <f>IF(ISNUMBER($B96),pd($C$7,$C96,$E$11,$C$11),"")</f>
        <v/>
      </c>
      <c r="G96" s="28" t="str">
        <f>IF(ISNUMBER($B96),pd($C$7,$C96,$E$12,$C$12),"")</f>
        <v/>
      </c>
      <c r="H96" s="28" t="str">
        <f>IF(ISNUMBER($B96),pd($C$7,$C96,$E$13,$C$13),"")</f>
        <v/>
      </c>
    </row>
    <row r="97" spans="2:8" x14ac:dyDescent="0.25">
      <c r="B97" s="5" t="str">
        <f t="shared" si="5"/>
        <v/>
      </c>
      <c r="C97" s="29">
        <f t="shared" si="6"/>
        <v>0</v>
      </c>
      <c r="D97" s="29" t="str">
        <f>IF(ISNUMBER(B97),pd($C$7,C97,$E$9,$C$9),"")</f>
        <v/>
      </c>
      <c r="E97" s="29" t="str">
        <f>IF(ISNUMBER($B97),pd($C$7,$C97,$E$10,$C$10),"")</f>
        <v/>
      </c>
      <c r="F97" s="29" t="str">
        <f>IF(ISNUMBER($B97),pd($C$7,$C97,$E$11,$C$11),"")</f>
        <v/>
      </c>
      <c r="G97" s="29" t="str">
        <f>IF(ISNUMBER($B97),pd($C$7,$C97,$E$12,$C$12),"")</f>
        <v/>
      </c>
      <c r="H97" s="29" t="str">
        <f>IF(ISNUMBER($B97),pd($C$7,$C97,$E$13,$C$13),"")</f>
        <v/>
      </c>
    </row>
    <row r="98" spans="2:8" x14ac:dyDescent="0.25">
      <c r="B98" s="4" t="str">
        <f t="shared" si="5"/>
        <v/>
      </c>
      <c r="C98" s="28">
        <f t="shared" si="6"/>
        <v>0</v>
      </c>
      <c r="D98" s="28" t="str">
        <f>IF(ISNUMBER(B98),pd($C$7,C98,$E$9,$C$9),"")</f>
        <v/>
      </c>
      <c r="E98" s="28" t="str">
        <f>IF(ISNUMBER($B98),pd($C$7,$C98,$E$10,$C$10),"")</f>
        <v/>
      </c>
      <c r="F98" s="28" t="str">
        <f>IF(ISNUMBER($B98),pd($C$7,$C98,$E$11,$C$11),"")</f>
        <v/>
      </c>
      <c r="G98" s="28" t="str">
        <f>IF(ISNUMBER($B98),pd($C$7,$C98,$E$12,$C$12),"")</f>
        <v/>
      </c>
      <c r="H98" s="28" t="str">
        <f>IF(ISNUMBER($B98),pd($C$7,$C98,$E$13,$C$13),"")</f>
        <v/>
      </c>
    </row>
    <row r="99" spans="2:8" x14ac:dyDescent="0.25">
      <c r="B99" s="5" t="str">
        <f t="shared" si="5"/>
        <v/>
      </c>
      <c r="C99" s="29">
        <f t="shared" si="6"/>
        <v>0</v>
      </c>
      <c r="D99" s="29" t="str">
        <f>IF(ISNUMBER(B99),pd($C$7,C99,$E$9,$C$9),"")</f>
        <v/>
      </c>
      <c r="E99" s="29" t="str">
        <f>IF(ISNUMBER($B99),pd($C$7,$C99,$E$10,$C$10),"")</f>
        <v/>
      </c>
      <c r="F99" s="29" t="str">
        <f>IF(ISNUMBER($B99),pd($C$7,$C99,$E$11,$C$11),"")</f>
        <v/>
      </c>
      <c r="G99" s="29" t="str">
        <f>IF(ISNUMBER($B99),pd($C$7,$C99,$E$12,$C$12),"")</f>
        <v/>
      </c>
      <c r="H99" s="29" t="str">
        <f>IF(ISNUMBER($B99),pd($C$7,$C99,$E$13,$C$13),"")</f>
        <v/>
      </c>
    </row>
    <row r="100" spans="2:8" x14ac:dyDescent="0.25">
      <c r="B100" s="4" t="str">
        <f t="shared" si="5"/>
        <v/>
      </c>
      <c r="C100" s="28">
        <f t="shared" si="6"/>
        <v>0</v>
      </c>
      <c r="D100" s="28" t="str">
        <f>IF(ISNUMBER(B100),pd($C$7,C100,$E$9,$C$9),"")</f>
        <v/>
      </c>
      <c r="E100" s="28" t="str">
        <f>IF(ISNUMBER($B100),pd($C$7,$C100,$E$10,$C$10),"")</f>
        <v/>
      </c>
      <c r="F100" s="28" t="str">
        <f>IF(ISNUMBER($B100),pd($C$7,$C100,$E$11,$C$11),"")</f>
        <v/>
      </c>
      <c r="G100" s="28" t="str">
        <f>IF(ISNUMBER($B100),pd($C$7,$C100,$E$12,$C$12),"")</f>
        <v/>
      </c>
      <c r="H100" s="28" t="str">
        <f>IF(ISNUMBER($B100),pd($C$7,$C100,$E$13,$C$13),"")</f>
        <v/>
      </c>
    </row>
    <row r="101" spans="2:8" x14ac:dyDescent="0.25">
      <c r="B101" s="5" t="str">
        <f t="shared" si="5"/>
        <v/>
      </c>
      <c r="C101" s="29">
        <f t="shared" si="6"/>
        <v>0</v>
      </c>
      <c r="D101" s="29" t="str">
        <f>IF(ISNUMBER(B101),pd($C$7,C101,$E$9,$C$9),"")</f>
        <v/>
      </c>
      <c r="E101" s="29" t="str">
        <f>IF(ISNUMBER($B101),pd($C$7,$C101,$E$10,$C$10),"")</f>
        <v/>
      </c>
      <c r="F101" s="29" t="str">
        <f>IF(ISNUMBER($B101),pd($C$7,$C101,$E$11,$C$11),"")</f>
        <v/>
      </c>
      <c r="G101" s="29" t="str">
        <f>IF(ISNUMBER($B101),pd($C$7,$C101,$E$12,$C$12),"")</f>
        <v/>
      </c>
      <c r="H101" s="29" t="str">
        <f>IF(ISNUMBER($B101),pd($C$7,$C101,$E$13,$C$13),"")</f>
        <v/>
      </c>
    </row>
    <row r="102" spans="2:8" x14ac:dyDescent="0.25">
      <c r="B102" s="4" t="str">
        <f t="shared" si="5"/>
        <v/>
      </c>
      <c r="C102" s="28">
        <f t="shared" si="6"/>
        <v>0</v>
      </c>
      <c r="D102" s="28" t="str">
        <f>IF(ISNUMBER(B102),pd($C$7,C102,$E$9,$C$9),"")</f>
        <v/>
      </c>
      <c r="E102" s="28" t="str">
        <f>IF(ISNUMBER($B102),pd($C$7,$C102,$E$10,$C$10),"")</f>
        <v/>
      </c>
      <c r="F102" s="28" t="str">
        <f>IF(ISNUMBER($B102),pd($C$7,$C102,$E$11,$C$11),"")</f>
        <v/>
      </c>
      <c r="G102" s="28" t="str">
        <f>IF(ISNUMBER($B102),pd($C$7,$C102,$E$12,$C$12),"")</f>
        <v/>
      </c>
      <c r="H102" s="28" t="str">
        <f>IF(ISNUMBER($B102),pd($C$7,$C102,$E$13,$C$13),"")</f>
        <v/>
      </c>
    </row>
    <row r="103" spans="2:8" x14ac:dyDescent="0.25">
      <c r="B103" s="5" t="str">
        <f t="shared" si="5"/>
        <v/>
      </c>
      <c r="C103" s="29">
        <f t="shared" si="6"/>
        <v>0</v>
      </c>
      <c r="D103" s="29" t="str">
        <f>IF(ISNUMBER(B103),pd($C$7,C103,$E$9,$C$9),"")</f>
        <v/>
      </c>
      <c r="E103" s="29" t="str">
        <f>IF(ISNUMBER($B103),pd($C$7,$C103,$E$10,$C$10),"")</f>
        <v/>
      </c>
      <c r="F103" s="29" t="str">
        <f>IF(ISNUMBER($B103),pd($C$7,$C103,$E$11,$C$11),"")</f>
        <v/>
      </c>
      <c r="G103" s="29" t="str">
        <f>IF(ISNUMBER($B103),pd($C$7,$C103,$E$12,$C$12),"")</f>
        <v/>
      </c>
      <c r="H103" s="29" t="str">
        <f>IF(ISNUMBER($B103),pd($C$7,$C103,$E$13,$C$13),"")</f>
        <v/>
      </c>
    </row>
    <row r="104" spans="2:8" x14ac:dyDescent="0.25">
      <c r="B104" s="4" t="str">
        <f t="shared" si="5"/>
        <v/>
      </c>
      <c r="C104" s="28">
        <f t="shared" si="6"/>
        <v>0</v>
      </c>
      <c r="D104" s="28" t="str">
        <f>IF(ISNUMBER(B104),pd($C$7,C104,$E$9,$C$9),"")</f>
        <v/>
      </c>
      <c r="E104" s="28" t="str">
        <f>IF(ISNUMBER($B104),pd($C$7,$C104,$E$10,$C$10),"")</f>
        <v/>
      </c>
      <c r="F104" s="28" t="str">
        <f>IF(ISNUMBER($B104),pd($C$7,$C104,$E$11,$C$11),"")</f>
        <v/>
      </c>
      <c r="G104" s="28" t="str">
        <f>IF(ISNUMBER($B104),pd($C$7,$C104,$E$12,$C$12),"")</f>
        <v/>
      </c>
      <c r="H104" s="28" t="str">
        <f>IF(ISNUMBER($B104),pd($C$7,$C104,$E$13,$C$13),"")</f>
        <v/>
      </c>
    </row>
    <row r="105" spans="2:8" x14ac:dyDescent="0.25">
      <c r="B105" s="5" t="str">
        <f t="shared" si="5"/>
        <v/>
      </c>
      <c r="C105" s="29">
        <f t="shared" si="6"/>
        <v>0</v>
      </c>
      <c r="D105" s="29" t="str">
        <f>IF(ISNUMBER(B105),pd($C$7,C105,$E$9,$C$9),"")</f>
        <v/>
      </c>
      <c r="E105" s="29" t="str">
        <f>IF(ISNUMBER($B105),pd($C$7,$C105,$E$10,$C$10),"")</f>
        <v/>
      </c>
      <c r="F105" s="29" t="str">
        <f>IF(ISNUMBER($B105),pd($C$7,$C105,$E$11,$C$11),"")</f>
        <v/>
      </c>
      <c r="G105" s="29" t="str">
        <f>IF(ISNUMBER($B105),pd($C$7,$C105,$E$12,$C$12),"")</f>
        <v/>
      </c>
      <c r="H105" s="29" t="str">
        <f>IF(ISNUMBER($B105),pd($C$7,$C105,$E$13,$C$13),"")</f>
        <v/>
      </c>
    </row>
    <row r="106" spans="2:8" x14ac:dyDescent="0.25">
      <c r="B106" s="4" t="str">
        <f t="shared" si="5"/>
        <v/>
      </c>
      <c r="C106" s="28">
        <f t="shared" si="6"/>
        <v>0</v>
      </c>
      <c r="D106" s="28" t="str">
        <f>IF(ISNUMBER(B106),pd($C$7,C106,$E$9,$C$9),"")</f>
        <v/>
      </c>
      <c r="E106" s="28" t="str">
        <f>IF(ISNUMBER($B106),pd($C$7,$C106,$E$10,$C$10),"")</f>
        <v/>
      </c>
      <c r="F106" s="28" t="str">
        <f>IF(ISNUMBER($B106),pd($C$7,$C106,$E$11,$C$11),"")</f>
        <v/>
      </c>
      <c r="G106" s="28" t="str">
        <f>IF(ISNUMBER($B106),pd($C$7,$C106,$E$12,$C$12),"")</f>
        <v/>
      </c>
      <c r="H106" s="28" t="str">
        <f>IF(ISNUMBER($B106),pd($C$7,$C106,$E$13,$C$13),"")</f>
        <v/>
      </c>
    </row>
    <row r="107" spans="2:8" x14ac:dyDescent="0.25">
      <c r="B107" s="5" t="str">
        <f t="shared" si="5"/>
        <v/>
      </c>
      <c r="C107" s="29">
        <f t="shared" si="6"/>
        <v>0</v>
      </c>
      <c r="D107" s="29" t="str">
        <f>IF(ISNUMBER(B107),pd($C$7,C107,$E$9,$C$9),"")</f>
        <v/>
      </c>
      <c r="E107" s="29" t="str">
        <f>IF(ISNUMBER($B107),pd($C$7,$C107,$E$10,$C$10),"")</f>
        <v/>
      </c>
      <c r="F107" s="29" t="str">
        <f>IF(ISNUMBER($B107),pd($C$7,$C107,$E$11,$C$11),"")</f>
        <v/>
      </c>
      <c r="G107" s="29" t="str">
        <f>IF(ISNUMBER($B107),pd($C$7,$C107,$E$12,$C$12),"")</f>
        <v/>
      </c>
      <c r="H107" s="29" t="str">
        <f>IF(ISNUMBER($B107),pd($C$7,$C107,$E$13,$C$13),"")</f>
        <v/>
      </c>
    </row>
    <row r="108" spans="2:8" x14ac:dyDescent="0.25">
      <c r="B108" s="4" t="str">
        <f t="shared" si="5"/>
        <v/>
      </c>
      <c r="C108" s="28">
        <f t="shared" si="6"/>
        <v>0</v>
      </c>
      <c r="D108" s="28" t="str">
        <f>IF(ISNUMBER(B108),pd($C$7,C108,$E$9,$C$9),"")</f>
        <v/>
      </c>
      <c r="E108" s="28" t="str">
        <f>IF(ISNUMBER($B108),pd($C$7,$C108,$E$10,$C$10),"")</f>
        <v/>
      </c>
      <c r="F108" s="28" t="str">
        <f>IF(ISNUMBER($B108),pd($C$7,$C108,$E$11,$C$11),"")</f>
        <v/>
      </c>
      <c r="G108" s="28" t="str">
        <f>IF(ISNUMBER($B108),pd($C$7,$C108,$E$12,$C$12),"")</f>
        <v/>
      </c>
      <c r="H108" s="28" t="str">
        <f>IF(ISNUMBER($B108),pd($C$7,$C108,$E$13,$C$13),"")</f>
        <v/>
      </c>
    </row>
    <row r="109" spans="2:8" x14ac:dyDescent="0.25">
      <c r="B109" s="5" t="str">
        <f t="shared" si="5"/>
        <v/>
      </c>
      <c r="C109" s="29">
        <f t="shared" si="6"/>
        <v>0</v>
      </c>
      <c r="D109" s="29" t="str">
        <f>IF(ISNUMBER(B109),pd($C$7,C109,$E$9,$C$9),"")</f>
        <v/>
      </c>
      <c r="E109" s="29" t="str">
        <f>IF(ISNUMBER($B109),pd($C$7,$C109,$E$10,$C$10),"")</f>
        <v/>
      </c>
      <c r="F109" s="29" t="str">
        <f>IF(ISNUMBER($B109),pd($C$7,$C109,$E$11,$C$11),"")</f>
        <v/>
      </c>
      <c r="G109" s="29" t="str">
        <f>IF(ISNUMBER($B109),pd($C$7,$C109,$E$12,$C$12),"")</f>
        <v/>
      </c>
      <c r="H109" s="29" t="str">
        <f>IF(ISNUMBER($B109),pd($C$7,$C109,$E$13,$C$13),"")</f>
        <v/>
      </c>
    </row>
    <row r="110" spans="2:8" x14ac:dyDescent="0.25">
      <c r="B110" s="4" t="str">
        <f t="shared" si="5"/>
        <v/>
      </c>
      <c r="C110" s="28">
        <f t="shared" si="6"/>
        <v>0</v>
      </c>
      <c r="D110" s="28" t="str">
        <f>IF(ISNUMBER(B110),pd($C$7,C110,$E$9,$C$9),"")</f>
        <v/>
      </c>
      <c r="E110" s="28" t="str">
        <f>IF(ISNUMBER($B110),pd($C$7,$C110,$E$10,$C$10),"")</f>
        <v/>
      </c>
      <c r="F110" s="28" t="str">
        <f>IF(ISNUMBER($B110),pd($C$7,$C110,$E$11,$C$11),"")</f>
        <v/>
      </c>
      <c r="G110" s="28" t="str">
        <f>IF(ISNUMBER($B110),pd($C$7,$C110,$E$12,$C$12),"")</f>
        <v/>
      </c>
      <c r="H110" s="28" t="str">
        <f>IF(ISNUMBER($B110),pd($C$7,$C110,$E$13,$C$13),"")</f>
        <v/>
      </c>
    </row>
    <row r="111" spans="2:8" x14ac:dyDescent="0.25">
      <c r="B111" s="5" t="str">
        <f t="shared" si="5"/>
        <v/>
      </c>
      <c r="C111" s="29">
        <f t="shared" si="6"/>
        <v>0</v>
      </c>
      <c r="D111" s="29" t="str">
        <f>IF(ISNUMBER(B111),pd($C$7,C111,$E$9,$C$9),"")</f>
        <v/>
      </c>
      <c r="E111" s="29" t="str">
        <f>IF(ISNUMBER($B111),pd($C$7,$C111,$E$10,$C$10),"")</f>
        <v/>
      </c>
      <c r="F111" s="29" t="str">
        <f>IF(ISNUMBER($B111),pd($C$7,$C111,$E$11,$C$11),"")</f>
        <v/>
      </c>
      <c r="G111" s="29" t="str">
        <f>IF(ISNUMBER($B111),pd($C$7,$C111,$E$12,$C$12),"")</f>
        <v/>
      </c>
      <c r="H111" s="29" t="str">
        <f>IF(ISNUMBER($B111),pd($C$7,$C111,$E$13,$C$13),"")</f>
        <v/>
      </c>
    </row>
    <row r="112" spans="2:8" x14ac:dyDescent="0.25">
      <c r="B112" s="4" t="str">
        <f t="shared" si="5"/>
        <v/>
      </c>
      <c r="C112" s="28">
        <f t="shared" si="6"/>
        <v>0</v>
      </c>
      <c r="D112" s="28" t="str">
        <f>IF(ISNUMBER(B112),pd($C$7,C112,$E$9,$C$9),"")</f>
        <v/>
      </c>
      <c r="E112" s="28" t="str">
        <f>IF(ISNUMBER($B112),pd($C$7,$C112,$E$10,$C$10),"")</f>
        <v/>
      </c>
      <c r="F112" s="28" t="str">
        <f>IF(ISNUMBER($B112),pd($C$7,$C112,$E$11,$C$11),"")</f>
        <v/>
      </c>
      <c r="G112" s="28" t="str">
        <f>IF(ISNUMBER($B112),pd($C$7,$C112,$E$12,$C$12),"")</f>
        <v/>
      </c>
      <c r="H112" s="28" t="str">
        <f>IF(ISNUMBER($B112),pd($C$7,$C112,$E$13,$C$13),"")</f>
        <v/>
      </c>
    </row>
    <row r="113" spans="2:8" x14ac:dyDescent="0.25">
      <c r="B113" s="5" t="str">
        <f t="shared" si="5"/>
        <v/>
      </c>
      <c r="C113" s="29">
        <f t="shared" si="6"/>
        <v>0</v>
      </c>
      <c r="D113" s="29" t="str">
        <f>IF(ISNUMBER(B113),pd($C$7,C113,$E$9,$C$9),"")</f>
        <v/>
      </c>
      <c r="E113" s="29" t="str">
        <f>IF(ISNUMBER($B113),pd($C$7,$C113,$E$10,$C$10),"")</f>
        <v/>
      </c>
      <c r="F113" s="29" t="str">
        <f>IF(ISNUMBER($B113),pd($C$7,$C113,$E$11,$C$11),"")</f>
        <v/>
      </c>
      <c r="G113" s="29" t="str">
        <f>IF(ISNUMBER($B113),pd($C$7,$C113,$E$12,$C$12),"")</f>
        <v/>
      </c>
      <c r="H113" s="29" t="str">
        <f>IF(ISNUMBER($B113),pd($C$7,$C113,$E$13,$C$13),"")</f>
        <v/>
      </c>
    </row>
    <row r="114" spans="2:8" x14ac:dyDescent="0.25">
      <c r="B114" s="4" t="str">
        <f t="shared" si="5"/>
        <v/>
      </c>
      <c r="C114" s="28">
        <f t="shared" si="6"/>
        <v>0</v>
      </c>
      <c r="D114" s="28" t="str">
        <f>IF(ISNUMBER(B114),pd($C$7,C114,$E$9,$C$9),"")</f>
        <v/>
      </c>
      <c r="E114" s="28" t="str">
        <f>IF(ISNUMBER($B114),pd($C$7,$C114,$E$10,$C$10),"")</f>
        <v/>
      </c>
      <c r="F114" s="28" t="str">
        <f>IF(ISNUMBER($B114),pd($C$7,$C114,$E$11,$C$11),"")</f>
        <v/>
      </c>
      <c r="G114" s="28" t="str">
        <f>IF(ISNUMBER($B114),pd($C$7,$C114,$E$12,$C$12),"")</f>
        <v/>
      </c>
      <c r="H114" s="28" t="str">
        <f>IF(ISNUMBER($B114),pd($C$7,$C114,$E$13,$C$13),"")</f>
        <v/>
      </c>
    </row>
    <row r="115" spans="2:8" x14ac:dyDescent="0.25">
      <c r="B115" s="5" t="str">
        <f t="shared" si="5"/>
        <v/>
      </c>
      <c r="C115" s="29">
        <f t="shared" si="6"/>
        <v>0</v>
      </c>
      <c r="D115" s="29" t="str">
        <f>IF(ISNUMBER(B115),pd($C$7,C115,$E$9,$C$9),"")</f>
        <v/>
      </c>
      <c r="E115" s="29" t="str">
        <f>IF(ISNUMBER($B115),pd($C$7,$C115,$E$10,$C$10),"")</f>
        <v/>
      </c>
      <c r="F115" s="29" t="str">
        <f>IF(ISNUMBER($B115),pd($C$7,$C115,$E$11,$C$11),"")</f>
        <v/>
      </c>
      <c r="G115" s="29" t="str">
        <f>IF(ISNUMBER($B115),pd($C$7,$C115,$E$12,$C$12),"")</f>
        <v/>
      </c>
      <c r="H115" s="29" t="str">
        <f>IF(ISNUMBER($B115),pd($C$7,$C115,$E$13,$C$13),"")</f>
        <v/>
      </c>
    </row>
    <row r="116" spans="2:8" x14ac:dyDescent="0.25">
      <c r="B116" s="4" t="str">
        <f t="shared" si="5"/>
        <v/>
      </c>
      <c r="C116" s="28">
        <f t="shared" si="6"/>
        <v>0</v>
      </c>
      <c r="D116" s="28" t="str">
        <f>IF(ISNUMBER(B116),pd($C$7,C116,$E$9,$C$9),"")</f>
        <v/>
      </c>
      <c r="E116" s="28" t="str">
        <f>IF(ISNUMBER($B116),pd($C$7,$C116,$E$10,$C$10),"")</f>
        <v/>
      </c>
      <c r="F116" s="28" t="str">
        <f>IF(ISNUMBER($B116),pd($C$7,$C116,$E$11,$C$11),"")</f>
        <v/>
      </c>
      <c r="G116" s="28" t="str">
        <f>IF(ISNUMBER($B116),pd($C$7,$C116,$E$12,$C$12),"")</f>
        <v/>
      </c>
      <c r="H116" s="28" t="str">
        <f>IF(ISNUMBER($B116),pd($C$7,$C116,$E$13,$C$13),"")</f>
        <v/>
      </c>
    </row>
    <row r="117" spans="2:8" x14ac:dyDescent="0.25">
      <c r="B117" s="5" t="str">
        <f t="shared" si="5"/>
        <v/>
      </c>
      <c r="C117" s="29">
        <f t="shared" si="6"/>
        <v>0</v>
      </c>
      <c r="D117" s="29" t="str">
        <f>IF(ISNUMBER(B117),pd($C$7,C117,$E$9,$C$9),"")</f>
        <v/>
      </c>
      <c r="E117" s="29" t="str">
        <f>IF(ISNUMBER($B117),pd($C$7,$C117,$E$10,$C$10),"")</f>
        <v/>
      </c>
      <c r="F117" s="29" t="str">
        <f>IF(ISNUMBER($B117),pd($C$7,$C117,$E$11,$C$11),"")</f>
        <v/>
      </c>
      <c r="G117" s="29" t="str">
        <f>IF(ISNUMBER($B117),pd($C$7,$C117,$E$12,$C$12),"")</f>
        <v/>
      </c>
      <c r="H117" s="29" t="str">
        <f>IF(ISNUMBER($B117),pd($C$7,$C117,$E$13,$C$13),"")</f>
        <v/>
      </c>
    </row>
    <row r="118" spans="2:8" x14ac:dyDescent="0.25">
      <c r="B118" s="4" t="str">
        <f t="shared" si="5"/>
        <v/>
      </c>
      <c r="C118" s="28">
        <f t="shared" si="6"/>
        <v>0</v>
      </c>
      <c r="D118" s="28" t="str">
        <f>IF(ISNUMBER(B118),pd($C$7,C118,$E$9,$C$9),"")</f>
        <v/>
      </c>
      <c r="E118" s="28" t="str">
        <f>IF(ISNUMBER($B118),pd($C$7,$C118,$E$10,$C$10),"")</f>
        <v/>
      </c>
      <c r="F118" s="28" t="str">
        <f>IF(ISNUMBER($B118),pd($C$7,$C118,$E$11,$C$11),"")</f>
        <v/>
      </c>
      <c r="G118" s="28" t="str">
        <f>IF(ISNUMBER($B118),pd($C$7,$C118,$E$12,$C$12),"")</f>
        <v/>
      </c>
      <c r="H118" s="28" t="str">
        <f>IF(ISNUMBER($B118),pd($C$7,$C118,$E$13,$C$13),"")</f>
        <v/>
      </c>
    </row>
    <row r="119" spans="2:8" x14ac:dyDescent="0.25">
      <c r="B119" s="5" t="str">
        <f t="shared" si="5"/>
        <v/>
      </c>
      <c r="C119" s="29">
        <f t="shared" ref="C119:C121" si="7">IF(ISNUMBER(B119),C118*10^(($C$6-$C$5)/($C$16-1)),0)</f>
        <v>0</v>
      </c>
      <c r="D119" s="29" t="str">
        <f>IF(ISNUMBER(B119),pd($C$7,C119,$E$9,$C$9),"")</f>
        <v/>
      </c>
      <c r="E119" s="29" t="str">
        <f>IF(ISNUMBER($B119),pd($C$7,$C119,$E$10,$C$10),"")</f>
        <v/>
      </c>
      <c r="F119" s="29" t="str">
        <f>IF(ISNUMBER($B119),pd($C$7,$C119,$E$11,$C$11),"")</f>
        <v/>
      </c>
      <c r="G119" s="29" t="str">
        <f>IF(ISNUMBER($B119),pd($C$7,$C119,$E$12,$C$12),"")</f>
        <v/>
      </c>
      <c r="H119" s="29" t="str">
        <f>IF(ISNUMBER($B119),pd($C$7,$C119,$E$13,$C$13),"")</f>
        <v/>
      </c>
    </row>
    <row r="120" spans="2:8" x14ac:dyDescent="0.25">
      <c r="B120" s="4" t="str">
        <f t="shared" si="5"/>
        <v/>
      </c>
      <c r="C120" s="28">
        <f t="shared" si="7"/>
        <v>0</v>
      </c>
      <c r="D120" s="28" t="str">
        <f>IF(ISNUMBER(B120),pd($C$7,C120,$E$9,$C$9),"")</f>
        <v/>
      </c>
      <c r="E120" s="28" t="str">
        <f>IF(ISNUMBER($B120),pd($C$7,$C120,$E$10,$C$10),"")</f>
        <v/>
      </c>
      <c r="F120" s="28" t="str">
        <f>IF(ISNUMBER($B120),pd($C$7,$C120,$E$11,$C$11),"")</f>
        <v/>
      </c>
      <c r="G120" s="28" t="str">
        <f>IF(ISNUMBER($B120),pd($C$7,$C120,$E$12,$C$12),"")</f>
        <v/>
      </c>
      <c r="H120" s="28" t="str">
        <f>IF(ISNUMBER($B120),pd($C$7,$C120,$E$13,$C$13),"")</f>
        <v/>
      </c>
    </row>
    <row r="121" spans="2:8" ht="15.75" thickBot="1" x14ac:dyDescent="0.3">
      <c r="B121" s="19" t="str">
        <f t="shared" si="5"/>
        <v/>
      </c>
      <c r="C121" s="30">
        <f t="shared" si="7"/>
        <v>0</v>
      </c>
      <c r="D121" s="30" t="str">
        <f>IF(ISNUMBER(B121),pd($C$7,C121,$E$9,$C$9),"")</f>
        <v/>
      </c>
      <c r="E121" s="30" t="str">
        <f>IF(ISNUMBER($B121),pd($C$7,$C121,$E$10,$C$10),"")</f>
        <v/>
      </c>
      <c r="F121" s="30" t="str">
        <f>IF(ISNUMBER($B121),pd($C$7,$C121,$E$11,$C$11),"")</f>
        <v/>
      </c>
      <c r="G121" s="30" t="str">
        <f>IF(ISNUMBER($B121),pd($C$7,$C121,$E$12,$C$12),"")</f>
        <v/>
      </c>
      <c r="H121" s="30" t="str">
        <f>IF(ISNUMBER($B121),pd($C$7,$C121,$E$13,$C$13),"")</f>
        <v/>
      </c>
    </row>
  </sheetData>
  <mergeCells count="5">
    <mergeCell ref="B1:P2"/>
    <mergeCell ref="D3:M3"/>
    <mergeCell ref="B15:C15"/>
    <mergeCell ref="B20:D20"/>
    <mergeCell ref="B18:D18"/>
  </mergeCells>
  <dataValidations count="1">
    <dataValidation type="whole" allowBlank="1" showInputMessage="1" showErrorMessage="1" errorTitle="Error!" error="Max points: 100" promptTitle="Attention" prompt="Max points: 100" sqref="C16">
      <formula1>1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Spinner 2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3</xdr:col>
                    <xdr:colOff>247650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Spinner 4">
              <controlPr defaultSize="0" autoPict="0">
                <anchor moveWithCells="1" sizeWithCells="1">
                  <from>
                    <xdr:col>3</xdr:col>
                    <xdr:colOff>0</xdr:colOff>
                    <xdr:row>8</xdr:row>
                    <xdr:rowOff>9525</xdr:rowOff>
                  </from>
                  <to>
                    <xdr:col>3</xdr:col>
                    <xdr:colOff>133350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Spinner 9">
              <controlPr defaultSize="0" autoPict="0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142875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Spinner 10">
              <controlPr defaultSize="0" autoPict="0">
                <anchor moveWithCells="1" sizeWithCells="1">
                  <from>
                    <xdr:col>3</xdr:col>
                    <xdr:colOff>0</xdr:colOff>
                    <xdr:row>10</xdr:row>
                    <xdr:rowOff>9525</xdr:rowOff>
                  </from>
                  <to>
                    <xdr:col>3</xdr:col>
                    <xdr:colOff>133350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Spinner 11">
              <controlPr defaultSize="0" autoPict="0">
                <anchor moveWithCells="1" sizeWithCells="1">
                  <from>
                    <xdr:col>3</xdr:col>
                    <xdr:colOff>0</xdr:colOff>
                    <xdr:row>11</xdr:row>
                    <xdr:rowOff>9525</xdr:rowOff>
                  </from>
                  <to>
                    <xdr:col>3</xdr:col>
                    <xdr:colOff>133350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8" name="Spinner 12">
              <controlPr defaultSize="0" autoPict="0">
                <anchor moveWithCells="1" sizeWithCells="1">
                  <from>
                    <xdr:col>3</xdr:col>
                    <xdr:colOff>0</xdr:colOff>
                    <xdr:row>12</xdr:row>
                    <xdr:rowOff>9525</xdr:rowOff>
                  </from>
                  <to>
                    <xdr:col>3</xdr:col>
                    <xdr:colOff>133350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9" name="Spinner 13">
              <controlPr defaultSize="0" autoPict="0">
                <anchor moveWithCells="1" sizeWithCells="1">
                  <from>
                    <xdr:col>4</xdr:col>
                    <xdr:colOff>771525</xdr:colOff>
                    <xdr:row>8</xdr:row>
                    <xdr:rowOff>9525</xdr:rowOff>
                  </from>
                  <to>
                    <xdr:col>4</xdr:col>
                    <xdr:colOff>904875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Spinner 14">
              <controlPr defaultSize="0" autoPict="0">
                <anchor moveWithCells="1" sizeWithCells="1">
                  <from>
                    <xdr:col>4</xdr:col>
                    <xdr:colOff>771525</xdr:colOff>
                    <xdr:row>9</xdr:row>
                    <xdr:rowOff>19050</xdr:rowOff>
                  </from>
                  <to>
                    <xdr:col>4</xdr:col>
                    <xdr:colOff>904875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1" name="Spinner 15">
              <controlPr defaultSize="0" autoPict="0">
                <anchor moveWithCells="1" sizeWithCells="1">
                  <from>
                    <xdr:col>4</xdr:col>
                    <xdr:colOff>771525</xdr:colOff>
                    <xdr:row>10</xdr:row>
                    <xdr:rowOff>19050</xdr:rowOff>
                  </from>
                  <to>
                    <xdr:col>4</xdr:col>
                    <xdr:colOff>904875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2" name="Spinner 16">
              <controlPr defaultSize="0" autoPict="0">
                <anchor moveWithCells="1" sizeWithCells="1">
                  <from>
                    <xdr:col>4</xdr:col>
                    <xdr:colOff>771525</xdr:colOff>
                    <xdr:row>11</xdr:row>
                    <xdr:rowOff>19050</xdr:rowOff>
                  </from>
                  <to>
                    <xdr:col>4</xdr:col>
                    <xdr:colOff>904875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3" name="Spinner 17">
              <controlPr defaultSize="0" autoPict="0">
                <anchor moveWithCells="1" sizeWithCells="1">
                  <from>
                    <xdr:col>4</xdr:col>
                    <xdr:colOff>771525</xdr:colOff>
                    <xdr:row>12</xdr:row>
                    <xdr:rowOff>19050</xdr:rowOff>
                  </from>
                  <to>
                    <xdr:col>4</xdr:col>
                    <xdr:colOff>904875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4" name="Spinner 22">
              <controlPr defaultSize="0" autoPict="0">
                <anchor moveWithCells="1" sizeWithCells="1">
                  <from>
                    <xdr:col>4</xdr:col>
                    <xdr:colOff>771525</xdr:colOff>
                    <xdr:row>9</xdr:row>
                    <xdr:rowOff>9525</xdr:rowOff>
                  </from>
                  <to>
                    <xdr:col>4</xdr:col>
                    <xdr:colOff>904875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5" name="Spinner 23">
              <controlPr defaultSize="0" autoPict="0">
                <anchor moveWithCells="1" sizeWithCells="1">
                  <from>
                    <xdr:col>4</xdr:col>
                    <xdr:colOff>771525</xdr:colOff>
                    <xdr:row>10</xdr:row>
                    <xdr:rowOff>9525</xdr:rowOff>
                  </from>
                  <to>
                    <xdr:col>4</xdr:col>
                    <xdr:colOff>904875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6" name="Spinner 24">
              <controlPr defaultSize="0" autoPict="0">
                <anchor moveWithCells="1" sizeWithCells="1">
                  <from>
                    <xdr:col>4</xdr:col>
                    <xdr:colOff>771525</xdr:colOff>
                    <xdr:row>11</xdr:row>
                    <xdr:rowOff>9525</xdr:rowOff>
                  </from>
                  <to>
                    <xdr:col>4</xdr:col>
                    <xdr:colOff>904875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7" name="Spinner 25">
              <controlPr defaultSize="0" autoPict="0">
                <anchor moveWithCells="1" sizeWithCells="1">
                  <from>
                    <xdr:col>4</xdr:col>
                    <xdr:colOff>771525</xdr:colOff>
                    <xdr:row>12</xdr:row>
                    <xdr:rowOff>9525</xdr:rowOff>
                  </from>
                  <to>
                    <xdr:col>4</xdr:col>
                    <xdr:colOff>904875</xdr:colOff>
                    <xdr:row>12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P121"/>
  <sheetViews>
    <sheetView showGridLines="0" tabSelected="1" zoomScale="120" zoomScaleNormal="120" workbookViewId="0">
      <selection activeCell="P24" sqref="P24"/>
    </sheetView>
  </sheetViews>
  <sheetFormatPr defaultColWidth="9.140625" defaultRowHeight="15" x14ac:dyDescent="0.25"/>
  <cols>
    <col min="1" max="1" width="2" customWidth="1"/>
    <col min="2" max="2" width="13.85546875" customWidth="1"/>
    <col min="3" max="3" width="9.140625" customWidth="1"/>
    <col min="4" max="4" width="14.28515625" bestFit="1" customWidth="1"/>
    <col min="5" max="5" width="13.7109375" bestFit="1" customWidth="1"/>
    <col min="6" max="12" width="9.140625" customWidth="1"/>
    <col min="13" max="13" width="14.28515625" bestFit="1" customWidth="1"/>
    <col min="14" max="16" width="9.140625" customWidth="1"/>
  </cols>
  <sheetData>
    <row r="1" spans="2:16" ht="15" customHeight="1" x14ac:dyDescent="0.25">
      <c r="B1" s="43" t="s">
        <v>30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2:16" ht="15" customHeight="1" x14ac:dyDescent="0.25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2:16" ht="15.75" thickBot="1" x14ac:dyDescent="0.3">
      <c r="B3" s="25"/>
      <c r="C3" s="25"/>
      <c r="D3" s="44" t="s">
        <v>32</v>
      </c>
      <c r="E3" s="44"/>
      <c r="F3" s="44"/>
      <c r="G3" s="44"/>
      <c r="H3" s="44"/>
      <c r="I3" s="44"/>
      <c r="J3" s="44"/>
      <c r="K3" s="44"/>
      <c r="L3" s="44"/>
      <c r="M3" s="44"/>
      <c r="N3" s="25"/>
      <c r="O3" s="25"/>
      <c r="P3" s="25"/>
    </row>
    <row r="4" spans="2:16" ht="15" customHeight="1" x14ac:dyDescent="0.25">
      <c r="B4" s="42" t="s">
        <v>4</v>
      </c>
      <c r="C4" s="35"/>
    </row>
    <row r="5" spans="2:16" x14ac:dyDescent="0.25">
      <c r="B5" s="23" t="s">
        <v>7</v>
      </c>
      <c r="C5" s="22">
        <v>-2</v>
      </c>
    </row>
    <row r="6" spans="2:16" x14ac:dyDescent="0.25">
      <c r="B6" s="23" t="s">
        <v>8</v>
      </c>
      <c r="C6" s="22">
        <v>4</v>
      </c>
    </row>
    <row r="7" spans="2:16" x14ac:dyDescent="0.25">
      <c r="B7" s="23" t="s">
        <v>1</v>
      </c>
      <c r="C7" s="22">
        <v>1</v>
      </c>
    </row>
    <row r="8" spans="2:16" ht="15.75" thickBot="1" x14ac:dyDescent="0.3">
      <c r="B8" s="23" t="s">
        <v>23</v>
      </c>
      <c r="C8" s="22">
        <v>10000</v>
      </c>
    </row>
    <row r="9" spans="2:16" ht="24.95" customHeight="1" x14ac:dyDescent="0.25">
      <c r="B9" s="33" t="s">
        <v>12</v>
      </c>
      <c r="C9" s="34">
        <v>8</v>
      </c>
      <c r="D9" s="37" t="s">
        <v>23</v>
      </c>
      <c r="E9" s="40">
        <f>10^(F9-2)</f>
        <v>100000000</v>
      </c>
      <c r="F9">
        <v>10</v>
      </c>
    </row>
    <row r="10" spans="2:16" ht="24.95" customHeight="1" x14ac:dyDescent="0.25">
      <c r="B10" s="33" t="s">
        <v>13</v>
      </c>
      <c r="C10" s="34">
        <v>10</v>
      </c>
      <c r="D10" s="36" t="s">
        <v>23</v>
      </c>
      <c r="E10" s="40">
        <f t="shared" ref="E10:E13" si="0">10^(F10-2)</f>
        <v>10000</v>
      </c>
      <c r="F10">
        <v>6</v>
      </c>
    </row>
    <row r="11" spans="2:16" ht="24.95" customHeight="1" x14ac:dyDescent="0.25">
      <c r="B11" s="33" t="s">
        <v>14</v>
      </c>
      <c r="C11" s="34">
        <v>12</v>
      </c>
      <c r="D11" s="36" t="s">
        <v>23</v>
      </c>
      <c r="E11" s="40">
        <f t="shared" si="0"/>
        <v>1E+20</v>
      </c>
      <c r="F11">
        <v>22</v>
      </c>
    </row>
    <row r="12" spans="2:16" ht="24.95" customHeight="1" x14ac:dyDescent="0.25">
      <c r="B12" s="33" t="s">
        <v>15</v>
      </c>
      <c r="C12" s="34">
        <v>14</v>
      </c>
      <c r="D12" s="36" t="s">
        <v>23</v>
      </c>
      <c r="E12" s="40">
        <f t="shared" si="0"/>
        <v>1E+40</v>
      </c>
      <c r="F12">
        <v>42</v>
      </c>
    </row>
    <row r="13" spans="2:16" ht="24.95" customHeight="1" thickBot="1" x14ac:dyDescent="0.3">
      <c r="B13" s="33" t="s">
        <v>16</v>
      </c>
      <c r="C13" s="34">
        <v>12</v>
      </c>
      <c r="D13" s="38" t="s">
        <v>23</v>
      </c>
      <c r="E13" s="40">
        <f t="shared" si="0"/>
        <v>9.9999999999999995E+59</v>
      </c>
      <c r="F13">
        <v>62</v>
      </c>
    </row>
    <row r="14" spans="2:16" ht="15.75" thickBot="1" x14ac:dyDescent="0.3">
      <c r="C14" s="1"/>
    </row>
    <row r="15" spans="2:16" x14ac:dyDescent="0.25">
      <c r="B15" s="45" t="s">
        <v>9</v>
      </c>
      <c r="C15" s="46"/>
    </row>
    <row r="16" spans="2:16" ht="15" customHeight="1" thickBot="1" x14ac:dyDescent="0.3">
      <c r="B16" s="24" t="s">
        <v>10</v>
      </c>
      <c r="C16" s="7">
        <v>50</v>
      </c>
    </row>
    <row r="17" spans="2:13" ht="15.75" thickBot="1" x14ac:dyDescent="0.3"/>
    <row r="18" spans="2:13" ht="15.75" thickBot="1" x14ac:dyDescent="0.3">
      <c r="B18" s="56" t="str">
        <f>"Range from "&amp;10^C5&amp;"  to "&amp;10^C6</f>
        <v>Range from 0.01  to 10000</v>
      </c>
      <c r="C18" s="57"/>
      <c r="D18" s="58"/>
    </row>
    <row r="19" spans="2:13" ht="15.75" thickBot="1" x14ac:dyDescent="0.3"/>
    <row r="20" spans="2:13" ht="15.75" thickBot="1" x14ac:dyDescent="0.3">
      <c r="B20" s="47" t="s">
        <v>22</v>
      </c>
      <c r="C20" s="48"/>
      <c r="D20" s="49"/>
    </row>
    <row r="21" spans="2:13" x14ac:dyDescent="0.25">
      <c r="B21" s="26" t="s">
        <v>11</v>
      </c>
      <c r="C21" s="27" t="s">
        <v>2</v>
      </c>
      <c r="D21" s="27" t="s">
        <v>17</v>
      </c>
      <c r="E21" s="27" t="s">
        <v>18</v>
      </c>
      <c r="F21" s="27" t="s">
        <v>19</v>
      </c>
      <c r="G21" s="27" t="s">
        <v>20</v>
      </c>
      <c r="H21" s="27" t="s">
        <v>21</v>
      </c>
      <c r="I21" s="27" t="s">
        <v>24</v>
      </c>
      <c r="J21" s="27" t="s">
        <v>25</v>
      </c>
      <c r="K21" s="27" t="s">
        <v>26</v>
      </c>
      <c r="L21" s="27" t="s">
        <v>27</v>
      </c>
      <c r="M21" s="27" t="s">
        <v>28</v>
      </c>
    </row>
    <row r="22" spans="2:13" x14ac:dyDescent="0.25">
      <c r="B22" s="4">
        <v>1</v>
      </c>
      <c r="C22" s="28">
        <f>IF(B22&gt;0,10^C5,"")</f>
        <v>0.01</v>
      </c>
      <c r="D22" s="28">
        <f>IF(ISNUMBER(B22),pd($C$7,C22,$E$9,$C$9),"")</f>
        <v>9.9939167498769351E-3</v>
      </c>
      <c r="E22" s="28">
        <f>IF(ISNUMBER($B22),pd($C$7,$C22,$E$10,$C$10),"")</f>
        <v>9.9755246496989521E-3</v>
      </c>
      <c r="F22" s="28">
        <f>IF(ISNUMBER($B22),pd($C$7,$C22,$E$11,$C$11),"")</f>
        <v>9.9975570718319213E-3</v>
      </c>
      <c r="G22" s="28">
        <f>IF(ISNUMBER($B22),pd($C$7,$C22,$E$12,$C$12),"")</f>
        <v>9.9988445657305577E-3</v>
      </c>
      <c r="H22" s="28">
        <f>IF(ISNUMBER($B22),pd($C$7,$C22,$E$13,$C$13),"")</f>
        <v>9.9992570324245189E-3</v>
      </c>
      <c r="I22" s="28">
        <f>IFERROR($C22*(D23-D22)/($C23-$C22),"")</f>
        <v>9.9846765105635702E-3</v>
      </c>
      <c r="J22" s="28">
        <f t="shared" ref="J22:M22" si="1">IFERROR($C22*(E23-E22)/($C23-$C22),"")</f>
        <v>9.9512396331584967E-3</v>
      </c>
      <c r="K22" s="28">
        <f t="shared" si="1"/>
        <v>9.9943972713089843E-3</v>
      </c>
      <c r="L22" s="28">
        <f t="shared" si="1"/>
        <v>9.9973378248902275E-3</v>
      </c>
      <c r="M22" s="28">
        <f t="shared" si="1"/>
        <v>9.998267983575752E-3</v>
      </c>
    </row>
    <row r="23" spans="2:13" x14ac:dyDescent="0.25">
      <c r="B23" s="5">
        <f t="shared" ref="B23:B86" si="2">IF(ROW(B23)-22&lt;$C$16,ROW(B23)-21,"")</f>
        <v>2</v>
      </c>
      <c r="C23" s="29">
        <f t="shared" ref="C23:C54" si="3">IF(ISNUMBER(B23),C22*10^(($C$6-$C$5)/($C$16-1)),0)</f>
        <v>1.3257113655901091E-2</v>
      </c>
      <c r="D23" s="29">
        <f>IF(ISNUMBER(B23),pd($C$7,C23,$E$9,$C$9),"")</f>
        <v>1.3246039371108081E-2</v>
      </c>
      <c r="E23" s="29">
        <f>IF(ISNUMBER($B23),pd($C$7,$C23,$E$10,$C$10),"")</f>
        <v>1.3216756499929422E-2</v>
      </c>
      <c r="F23" s="29">
        <f>IF(ISNUMBER($B23),pd($C$7,$C23,$E$11,$C$11),"")</f>
        <v>1.3252845855320031E-2</v>
      </c>
      <c r="G23" s="29">
        <f>IF(ISNUMBER($B23),pd($C$7,$C23,$E$12,$C$12),"")</f>
        <v>1.3255091120941205E-2</v>
      </c>
      <c r="H23" s="29">
        <f>IF(ISNUMBER($B23),pd($C$7,$C23,$E$13,$C$13),"")</f>
        <v>1.3255806550890844E-2</v>
      </c>
      <c r="I23" s="29">
        <f t="shared" ref="I23:I86" si="4">IFERROR($C23*(D24-D23)/($C24-$C23),"")</f>
        <v>1.3230114702761885E-2</v>
      </c>
      <c r="J23" s="29">
        <f t="shared" ref="J23:J86" si="5">IFERROR($C23*(E24-E23)/($C24-$C23),"")</f>
        <v>1.3176040239794981E-2</v>
      </c>
      <c r="K23" s="29">
        <f t="shared" ref="K23:K86" si="6">IFERROR($C23*(F24-F23)/($C24-$C23),"")</f>
        <v>1.32473301964302E-2</v>
      </c>
      <c r="L23" s="29">
        <f t="shared" ref="L23:L86" si="7">IFERROR($C23*(G24-G23)/($C24-$C23),"")</f>
        <v>1.3252451687773196E-2</v>
      </c>
      <c r="M23" s="29">
        <f t="shared" ref="M23:M86" si="8">IFERROR($C23*(H24-H23)/($C24-$C23),"")</f>
        <v>1.3254071996818547E-2</v>
      </c>
    </row>
    <row r="24" spans="2:13" x14ac:dyDescent="0.25">
      <c r="B24" s="4">
        <f t="shared" si="2"/>
        <v>3</v>
      </c>
      <c r="C24" s="28">
        <f t="shared" si="3"/>
        <v>1.7575106248547922E-2</v>
      </c>
      <c r="D24" s="28">
        <f>IF(ISNUMBER(B24),pd($C$7,C24,$E$9,$C$9),"")</f>
        <v>1.7555238097858437E-2</v>
      </c>
      <c r="E24" s="28">
        <f>IF(ISNUMBER($B24),pd($C$7,$C24,$E$10,$C$10),"")</f>
        <v>1.7508342559503277E-2</v>
      </c>
      <c r="F24" s="28">
        <f>IF(ISNUMBER($B24),pd($C$7,$C24,$E$11,$C$11),"")</f>
        <v>1.7567651864022402E-2</v>
      </c>
      <c r="G24" s="28">
        <f>IF(ISNUMBER($B24),pd($C$7,$C24,$E$12,$C$12),"")</f>
        <v>1.7571565257582761E-2</v>
      </c>
      <c r="H24" s="28">
        <f>IF(ISNUMBER($B24),pd($C$7,$C24,$E$13,$C$13),"")</f>
        <v>1.7572808440604239E-2</v>
      </c>
      <c r="I24" s="28">
        <f t="shared" si="4"/>
        <v>1.7527786545947114E-2</v>
      </c>
      <c r="J24" s="28">
        <f t="shared" si="5"/>
        <v>1.7439992153526842E-2</v>
      </c>
      <c r="K24" s="28">
        <f t="shared" si="6"/>
        <v>1.7558023832252807E-2</v>
      </c>
      <c r="L24" s="28">
        <f t="shared" si="7"/>
        <v>1.7566941473337868E-2</v>
      </c>
      <c r="M24" s="28">
        <f t="shared" si="8"/>
        <v>1.756976648676143E-2</v>
      </c>
    </row>
    <row r="25" spans="2:13" x14ac:dyDescent="0.25">
      <c r="B25" s="5">
        <f t="shared" si="2"/>
        <v>4</v>
      </c>
      <c r="C25" s="29">
        <f t="shared" si="3"/>
        <v>2.3299518105153724E-2</v>
      </c>
      <c r="D25" s="29">
        <f>IF(ISNUMBER(B25),pd($C$7,C25,$E$9,$C$9),"")</f>
        <v>2.3264237389510813E-2</v>
      </c>
      <c r="E25" s="29">
        <f>IF(ISNUMBER($B25),pd($C$7,$C25,$E$10,$C$10),"")</f>
        <v>2.3188746219709292E-2</v>
      </c>
      <c r="F25" s="29">
        <f>IF(ISNUMBER($B25),pd($C$7,$C25,$E$11,$C$11),"")</f>
        <v>2.3286499783489144E-2</v>
      </c>
      <c r="G25" s="29">
        <f>IF(ISNUMBER($B25),pd($C$7,$C25,$E$12,$C$12),"")</f>
        <v>2.3293317754105161E-2</v>
      </c>
      <c r="H25" s="29">
        <f>IF(ISNUMBER($B25),pd($C$7,$C25,$E$13,$C$13),"")</f>
        <v>2.3295481076106638E-2</v>
      </c>
      <c r="I25" s="29">
        <f t="shared" si="4"/>
        <v>2.3216905556744018E-2</v>
      </c>
      <c r="J25" s="29">
        <f t="shared" si="5"/>
        <v>2.3073873391282532E-2</v>
      </c>
      <c r="K25" s="29">
        <f t="shared" si="6"/>
        <v>2.3269693395331945E-2</v>
      </c>
      <c r="L25" s="29">
        <f t="shared" si="7"/>
        <v>2.328521824972913E-2</v>
      </c>
      <c r="M25" s="29">
        <f t="shared" si="8"/>
        <v>2.3290146329099648E-2</v>
      </c>
    </row>
    <row r="26" spans="2:13" x14ac:dyDescent="0.25">
      <c r="B26" s="4">
        <f t="shared" si="2"/>
        <v>5</v>
      </c>
      <c r="C26" s="28">
        <f t="shared" si="3"/>
        <v>3.0888435964774818E-2</v>
      </c>
      <c r="D26" s="28">
        <f>IF(ISNUMBER(B26),pd($C$7,C26,$E$9,$C$9),"")</f>
        <v>3.0826247403174502E-2</v>
      </c>
      <c r="E26" s="28">
        <f>IF(ISNUMBER($B26),pd($C$7,$C26,$E$10,$C$10),"")</f>
        <v>3.070416903143721E-2</v>
      </c>
      <c r="F26" s="28">
        <f>IF(ISNUMBER($B26),pd($C$7,$C26,$E$11,$C$11),"")</f>
        <v>3.0865703396145857E-2</v>
      </c>
      <c r="G26" s="28">
        <f>IF(ISNUMBER($B26),pd($C$7,$C26,$E$12,$C$12),"")</f>
        <v>3.087757798828817E-2</v>
      </c>
      <c r="H26" s="28">
        <f>IF(ISNUMBER($B26),pd($C$7,$C26,$E$13,$C$13),"")</f>
        <v>3.0881346441751154E-2</v>
      </c>
      <c r="I26" s="28">
        <f t="shared" si="4"/>
        <v>3.0744625590657521E-2</v>
      </c>
      <c r="J26" s="28">
        <f t="shared" si="5"/>
        <v>3.0510910479471534E-2</v>
      </c>
      <c r="K26" s="28">
        <f t="shared" si="6"/>
        <v>3.0836367380262714E-2</v>
      </c>
      <c r="L26" s="28">
        <f t="shared" si="7"/>
        <v>3.0863389481020406E-2</v>
      </c>
      <c r="M26" s="28">
        <f t="shared" si="8"/>
        <v>3.087199096051578E-2</v>
      </c>
    </row>
    <row r="27" spans="2:13" x14ac:dyDescent="0.25">
      <c r="B27" s="5">
        <f t="shared" si="2"/>
        <v>6</v>
      </c>
      <c r="C27" s="29">
        <f t="shared" si="3"/>
        <v>4.0949150623804262E-2</v>
      </c>
      <c r="D27" s="29">
        <f>IF(ISNUMBER(B27),pd($C$7,C27,$E$9,$C$9),"")</f>
        <v>4.0840121388864177E-2</v>
      </c>
      <c r="E27" s="29">
        <f>IF(ISNUMBER($B27),pd($C$7,$C27,$E$10,$C$10),"")</f>
        <v>4.0641919349103453E-2</v>
      </c>
      <c r="F27" s="29">
        <f>IF(ISNUMBER($B27),pd($C$7,$C27,$E$11,$C$11),"")</f>
        <v>4.090945872540952E-2</v>
      </c>
      <c r="G27" s="29">
        <f>IF(ISNUMBER($B27),pd($C$7,$C27,$E$12,$C$12),"")</f>
        <v>4.0930134722890733E-2</v>
      </c>
      <c r="H27" s="29">
        <f>IF(ISNUMBER($B27),pd($C$7,$C27,$E$13,$C$13),"")</f>
        <v>4.0936704775986252E-2</v>
      </c>
      <c r="I27" s="29">
        <f t="shared" si="4"/>
        <v>4.0699355693564129E-2</v>
      </c>
      <c r="J27" s="29">
        <f t="shared" si="5"/>
        <v>4.0316508884818282E-2</v>
      </c>
      <c r="K27" s="29">
        <f t="shared" si="6"/>
        <v>4.0858254219819583E-2</v>
      </c>
      <c r="L27" s="29">
        <f t="shared" si="7"/>
        <v>4.0905281742572068E-2</v>
      </c>
      <c r="M27" s="29">
        <f t="shared" si="8"/>
        <v>4.0920298528000505E-2</v>
      </c>
    </row>
    <row r="28" spans="2:13" x14ac:dyDescent="0.25">
      <c r="B28" s="4">
        <f t="shared" si="2"/>
        <v>7</v>
      </c>
      <c r="C28" s="28">
        <f t="shared" si="3"/>
        <v>5.4286754393238615E-2</v>
      </c>
      <c r="D28" s="28">
        <f>IF(ISNUMBER(B28),pd($C$7,C28,$E$9,$C$9),"")</f>
        <v>5.409636411045253E-2</v>
      </c>
      <c r="E28" s="28">
        <f>IF(ISNUMBER($B28),pd($C$7,$C28,$E$10,$C$10),"")</f>
        <v>5.3773464513803382E-2</v>
      </c>
      <c r="F28" s="28">
        <f>IF(ISNUMBER($B28),pd($C$7,$C28,$E$11,$C$11),"")</f>
        <v>5.4217456502974791E-2</v>
      </c>
      <c r="G28" s="28">
        <f>IF(ISNUMBER($B28),pd($C$7,$C28,$E$12,$C$12),"")</f>
        <v>5.4253449899112037E-2</v>
      </c>
      <c r="H28" s="28">
        <f>IF(ISNUMBER($B28),pd($C$7,$C28,$E$13,$C$13),"")</f>
        <v>5.4264911089896228E-2</v>
      </c>
      <c r="I28" s="28">
        <f t="shared" si="4"/>
        <v>5.3853597430643933E-2</v>
      </c>
      <c r="J28" s="28">
        <f t="shared" si="5"/>
        <v>5.322518118723104E-2</v>
      </c>
      <c r="K28" s="28">
        <f t="shared" si="6"/>
        <v>5.4128088278745726E-2</v>
      </c>
      <c r="L28" s="28">
        <f t="shared" si="7"/>
        <v>5.4209917715798084E-2</v>
      </c>
      <c r="M28" s="28">
        <f t="shared" si="8"/>
        <v>5.4236141261534795E-2</v>
      </c>
    </row>
    <row r="29" spans="2:13" x14ac:dyDescent="0.25">
      <c r="B29" s="5">
        <f t="shared" si="2"/>
        <v>8</v>
      </c>
      <c r="C29" s="29">
        <f t="shared" si="3"/>
        <v>7.1968567300115222E-2</v>
      </c>
      <c r="D29" s="29">
        <f>IF(ISNUMBER(B29),pd($C$7,C29,$E$9,$C$9),"")</f>
        <v>7.1637092871527558E-2</v>
      </c>
      <c r="E29" s="29">
        <f>IF(ISNUMBER($B29),pd($C$7,$C29,$E$10,$C$10),"")</f>
        <v>7.1109510962077391E-2</v>
      </c>
      <c r="F29" s="29">
        <f>IF(ISNUMBER($B29),pd($C$7,$C29,$E$11,$C$11),"")</f>
        <v>7.1847590053027044E-2</v>
      </c>
      <c r="G29" s="29">
        <f>IF(ISNUMBER($B29),pd($C$7,$C29,$E$12,$C$12),"")</f>
        <v>7.1910236226852081E-2</v>
      </c>
      <c r="H29" s="29">
        <f>IF(ISNUMBER($B29),pd($C$7,$C29,$E$13,$C$13),"")</f>
        <v>7.1930238724528792E-2</v>
      </c>
      <c r="I29" s="29">
        <f t="shared" si="4"/>
        <v>7.1218456167556413E-2</v>
      </c>
      <c r="J29" s="29">
        <f t="shared" si="5"/>
        <v>7.0185346556036796E-2</v>
      </c>
      <c r="K29" s="29">
        <f t="shared" si="6"/>
        <v>7.1691631336032569E-2</v>
      </c>
      <c r="L29" s="29">
        <f t="shared" si="7"/>
        <v>7.1833991453398485E-2</v>
      </c>
      <c r="M29" s="29">
        <f t="shared" si="8"/>
        <v>7.1879790489292883E-2</v>
      </c>
    </row>
    <row r="30" spans="2:13" x14ac:dyDescent="0.25">
      <c r="B30" s="4">
        <f t="shared" si="2"/>
        <v>9</v>
      </c>
      <c r="C30" s="28">
        <f t="shared" si="3"/>
        <v>9.5409547634999425E-2</v>
      </c>
      <c r="D30" s="28">
        <f>IF(ISNUMBER(B30),pd($C$7,C30,$E$9,$C$9),"")</f>
        <v>9.483375348508169E-2</v>
      </c>
      <c r="E30" s="28">
        <f>IF(ISNUMBER($B30),pd($C$7,$C30,$E$10,$C$10),"")</f>
        <v>9.3969676033259203E-2</v>
      </c>
      <c r="F30" s="28">
        <f>IF(ISNUMBER($B30),pd($C$7,$C30,$E$11,$C$11),"")</f>
        <v>9.5198369196868873E-2</v>
      </c>
      <c r="G30" s="28">
        <f>IF(ISNUMBER($B30),pd($C$7,$C30,$E$12,$C$12),"")</f>
        <v>9.530738367892673E-2</v>
      </c>
      <c r="H30" s="28">
        <f>IF(ISNUMBER($B30),pd($C$7,$C30,$E$13,$C$13),"")</f>
        <v>9.5342303443127316E-2</v>
      </c>
      <c r="I30" s="28">
        <f t="shared" si="4"/>
        <v>9.4112009915291131E-2</v>
      </c>
      <c r="J30" s="28">
        <f t="shared" si="5"/>
        <v>9.241180892148898E-2</v>
      </c>
      <c r="K30" s="28">
        <f t="shared" si="6"/>
        <v>9.4926245332400197E-2</v>
      </c>
      <c r="L30" s="28">
        <f t="shared" si="7"/>
        <v>9.5173855062678225E-2</v>
      </c>
      <c r="M30" s="28">
        <f t="shared" si="8"/>
        <v>9.5253847303852376E-2</v>
      </c>
    </row>
    <row r="31" spans="2:13" x14ac:dyDescent="0.25">
      <c r="B31" s="5">
        <f t="shared" si="2"/>
        <v>10</v>
      </c>
      <c r="C31" s="29">
        <f t="shared" si="3"/>
        <v>0.12648552168552965</v>
      </c>
      <c r="D31" s="29">
        <f>IF(ISNUMBER(B31),pd($C$7,C31,$E$9,$C$9),"")</f>
        <v>0.12548710475302105</v>
      </c>
      <c r="E31" s="29">
        <f>IF(ISNUMBER($B31),pd($C$7,$C31,$E$10,$C$10),"")</f>
        <v>0.12406925251372961</v>
      </c>
      <c r="F31" s="29">
        <f>IF(ISNUMBER($B31),pd($C$7,$C31,$E$11,$C$11),"")</f>
        <v>0.12611692619442666</v>
      </c>
      <c r="G31" s="29">
        <f>IF(ISNUMBER($B31),pd($C$7,$C31,$E$12,$C$12),"")</f>
        <v>0.12630658997986677</v>
      </c>
      <c r="H31" s="29">
        <f>IF(ISNUMBER($B31),pd($C$7,$C31,$E$13,$C$13),"")</f>
        <v>0.12636756412617681</v>
      </c>
      <c r="I31" s="29">
        <f t="shared" si="4"/>
        <v>0.12424330597304289</v>
      </c>
      <c r="J31" s="29">
        <f t="shared" si="5"/>
        <v>0.12144391520228964</v>
      </c>
      <c r="K31" s="29">
        <f t="shared" si="6"/>
        <v>0.12564221874034132</v>
      </c>
      <c r="L31" s="29">
        <f t="shared" si="7"/>
        <v>0.1260727691906818</v>
      </c>
      <c r="M31" s="29">
        <f t="shared" si="8"/>
        <v>0.12621247750713058</v>
      </c>
    </row>
    <row r="32" spans="2:13" x14ac:dyDescent="0.25">
      <c r="B32" s="4">
        <f t="shared" si="2"/>
        <v>11</v>
      </c>
      <c r="C32" s="28">
        <f t="shared" si="3"/>
        <v>0.16768329368110088</v>
      </c>
      <c r="D32" s="28">
        <f>IF(ISNUMBER(B32),pd($C$7,C32,$E$9,$C$9),"")</f>
        <v>0.16595456160693062</v>
      </c>
      <c r="E32" s="28">
        <f>IF(ISNUMBER($B32),pd($C$7,$C32,$E$10,$C$10),"")</f>
        <v>0.16362491597687678</v>
      </c>
      <c r="F32" s="28">
        <f>IF(ISNUMBER($B32),pd($C$7,$C32,$E$11,$C$11),"")</f>
        <v>0.16704002483611444</v>
      </c>
      <c r="G32" s="28">
        <f>IF(ISNUMBER($B32),pd($C$7,$C32,$E$12,$C$12),"")</f>
        <v>0.16736992379669038</v>
      </c>
      <c r="H32" s="28">
        <f>IF(ISNUMBER($B32),pd($C$7,$C32,$E$13,$C$13),"")</f>
        <v>0.16747640252953525</v>
      </c>
      <c r="I32" s="28">
        <f t="shared" si="4"/>
        <v>0.16381245997837007</v>
      </c>
      <c r="J32" s="28">
        <f t="shared" si="5"/>
        <v>0.159204003157735</v>
      </c>
      <c r="K32" s="28">
        <f t="shared" si="6"/>
        <v>0.16621217565663016</v>
      </c>
      <c r="L32" s="28">
        <f t="shared" si="7"/>
        <v>0.16696054758490272</v>
      </c>
      <c r="M32" s="28">
        <f t="shared" si="8"/>
        <v>0.16720452536818672</v>
      </c>
    </row>
    <row r="33" spans="2:13" x14ac:dyDescent="0.25">
      <c r="B33" s="5">
        <f t="shared" si="2"/>
        <v>12</v>
      </c>
      <c r="C33" s="29">
        <f t="shared" si="3"/>
        <v>0.22229964825261958</v>
      </c>
      <c r="D33" s="29">
        <f>IF(ISNUMBER(B33),pd($C$7,C33,$E$9,$C$9),"")</f>
        <v>0.21931014164716064</v>
      </c>
      <c r="E33" s="29">
        <f>IF(ISNUMBER($B33),pd($C$7,$C33,$E$10,$C$10),"")</f>
        <v>0.21547946925279471</v>
      </c>
      <c r="F33" s="29">
        <f>IF(ISNUMBER($B33),pd($C$7,$C33,$E$11,$C$11),"")</f>
        <v>0.22117721954693856</v>
      </c>
      <c r="G33" s="29">
        <f>IF(ISNUMBER($B33),pd($C$7,$C33,$E$12,$C$12),"")</f>
        <v>0.22175087175024147</v>
      </c>
      <c r="H33" s="29">
        <f>IF(ISNUMBER($B33),pd($C$7,$C33,$E$13,$C$13),"")</f>
        <v>0.2219368168200534</v>
      </c>
      <c r="I33" s="29">
        <f t="shared" si="4"/>
        <v>0.21562441404911847</v>
      </c>
      <c r="J33" s="29">
        <f t="shared" si="5"/>
        <v>0.20804481468908265</v>
      </c>
      <c r="K33" s="29">
        <f t="shared" si="6"/>
        <v>0.21973412829914457</v>
      </c>
      <c r="L33" s="29">
        <f t="shared" si="7"/>
        <v>0.2210342878691339</v>
      </c>
      <c r="M33" s="29">
        <f t="shared" si="8"/>
        <v>0.22146026824867004</v>
      </c>
    </row>
    <row r="34" spans="2:13" x14ac:dyDescent="0.25">
      <c r="B34" s="4">
        <f t="shared" si="2"/>
        <v>13</v>
      </c>
      <c r="C34" s="28">
        <f t="shared" si="3"/>
        <v>0.29470517025518123</v>
      </c>
      <c r="D34" s="28">
        <f>IF(ISNUMBER(B34),pd($C$7,C34,$E$9,$C$9),"")</f>
        <v>0.28954146400166614</v>
      </c>
      <c r="E34" s="28">
        <f>IF(ISNUMBER($B34),pd($C$7,$C34,$E$10,$C$10),"")</f>
        <v>0.28324202994911701</v>
      </c>
      <c r="F34" s="28">
        <f>IF(ISNUMBER($B34),pd($C$7,$C34,$E$11,$C$11),"")</f>
        <v>0.29274712254200519</v>
      </c>
      <c r="G34" s="28">
        <f>IF(ISNUMBER($B34),pd($C$7,$C34,$E$12,$C$12),"")</f>
        <v>0.29374425149433436</v>
      </c>
      <c r="H34" s="28">
        <f>IF(ISNUMBER($B34),pd($C$7,$C34,$E$13,$C$13),"")</f>
        <v>0.2940689432152796</v>
      </c>
      <c r="I34" s="28">
        <f t="shared" si="4"/>
        <v>0.28320817317412161</v>
      </c>
      <c r="J34" s="28">
        <f t="shared" si="5"/>
        <v>0.27076478040907809</v>
      </c>
      <c r="K34" s="28">
        <f t="shared" si="6"/>
        <v>0.29023297724277014</v>
      </c>
      <c r="L34" s="28">
        <f t="shared" si="7"/>
        <v>0.29249028661418591</v>
      </c>
      <c r="M34" s="28">
        <f t="shared" si="8"/>
        <v>0.29323380870344595</v>
      </c>
    </row>
    <row r="35" spans="2:13" x14ac:dyDescent="0.25">
      <c r="B35" s="5">
        <f t="shared" si="2"/>
        <v>14</v>
      </c>
      <c r="C35" s="29">
        <f t="shared" si="3"/>
        <v>0.39069399370546193</v>
      </c>
      <c r="D35" s="29">
        <f>IF(ISNUMBER(B35),pd($C$7,C35,$E$9,$C$9),"")</f>
        <v>0.38178558483248942</v>
      </c>
      <c r="E35" s="29">
        <f>IF(ISNUMBER($B35),pd($C$7,$C35,$E$10,$C$10),"")</f>
        <v>0.37143319632986388</v>
      </c>
      <c r="F35" s="29">
        <f>IF(ISNUMBER($B35),pd($C$7,$C35,$E$11,$C$11),"")</f>
        <v>0.38727930189903093</v>
      </c>
      <c r="G35" s="29">
        <f>IF(ISNUMBER($B35),pd($C$7,$C35,$E$12,$C$12),"")</f>
        <v>0.38901166216928329</v>
      </c>
      <c r="H35" s="29">
        <f>IF(ISNUMBER($B35),pd($C$7,$C35,$E$13,$C$13),"")</f>
        <v>0.38957852748526783</v>
      </c>
      <c r="I35" s="29">
        <f t="shared" si="4"/>
        <v>0.37092295004546766</v>
      </c>
      <c r="J35" s="29">
        <f t="shared" si="5"/>
        <v>0.35055499681214569</v>
      </c>
      <c r="K35" s="29">
        <f t="shared" si="6"/>
        <v>0.38290249463858633</v>
      </c>
      <c r="L35" s="29">
        <f t="shared" si="7"/>
        <v>0.38681818160967291</v>
      </c>
      <c r="M35" s="29">
        <f t="shared" si="8"/>
        <v>0.38811536571525168</v>
      </c>
    </row>
    <row r="36" spans="2:13" x14ac:dyDescent="0.25">
      <c r="B36" s="4">
        <f t="shared" si="2"/>
        <v>15</v>
      </c>
      <c r="C36" s="28">
        <f t="shared" si="3"/>
        <v>0.51794746792312141</v>
      </c>
      <c r="D36" s="28">
        <f>IF(ISNUMBER(B36),pd($C$7,C36,$E$9,$C$9),"")</f>
        <v>0.50259940542051051</v>
      </c>
      <c r="E36" s="28">
        <f>IF(ISNUMBER($B36),pd($C$7,$C36,$E$10,$C$10),"")</f>
        <v>0.48561294305598418</v>
      </c>
      <c r="F36" s="28">
        <f>IF(ISNUMBER($B36),pd($C$7,$C36,$E$11,$C$11),"")</f>
        <v>0.51199499631562428</v>
      </c>
      <c r="G36" s="28">
        <f>IF(ISNUMBER($B36),pd($C$7,$C36,$E$12,$C$12),"")</f>
        <v>0.51500274033645266</v>
      </c>
      <c r="H36" s="28">
        <f>IF(ISNUMBER($B36),pd($C$7,$C36,$E$13,$C$13),"")</f>
        <v>0.51599211325888705</v>
      </c>
      <c r="I36" s="28">
        <f t="shared" si="4"/>
        <v>0.48401501090222582</v>
      </c>
      <c r="J36" s="28">
        <f t="shared" si="5"/>
        <v>0.45082026335986042</v>
      </c>
      <c r="K36" s="28">
        <f t="shared" si="6"/>
        <v>0.50438323255795303</v>
      </c>
      <c r="L36" s="28">
        <f t="shared" si="7"/>
        <v>0.51116780209236223</v>
      </c>
      <c r="M36" s="28">
        <f t="shared" si="8"/>
        <v>0.51342953114463918</v>
      </c>
    </row>
    <row r="37" spans="2:13" x14ac:dyDescent="0.25">
      <c r="B37" s="5">
        <f t="shared" si="2"/>
        <v>16</v>
      </c>
      <c r="C37" s="29">
        <f t="shared" si="3"/>
        <v>0.68664884500430057</v>
      </c>
      <c r="D37" s="29">
        <f>IF(ISNUMBER(B37),pd($C$7,C37,$E$9,$C$9),"")</f>
        <v>0.66024859558758608</v>
      </c>
      <c r="E37" s="29">
        <f>IF(ISNUMBER($B37),pd($C$7,$C37,$E$10,$C$10),"")</f>
        <v>0.63245022667061701</v>
      </c>
      <c r="F37" s="29">
        <f>IF(ISNUMBER($B37),pd($C$7,$C37,$E$11,$C$11),"")</f>
        <v>0.6762783477728288</v>
      </c>
      <c r="G37" s="29">
        <f>IF(ISNUMBER($B37),pd($C$7,$C37,$E$12,$C$12),"")</f>
        <v>0.68149590320165065</v>
      </c>
      <c r="H37" s="29">
        <f>IF(ISNUMBER($B37),pd($C$7,$C37,$E$13,$C$13),"")</f>
        <v>0.68322194698229699</v>
      </c>
      <c r="I37" s="29">
        <f t="shared" si="4"/>
        <v>0.62856084707358006</v>
      </c>
      <c r="J37" s="29">
        <f t="shared" si="5"/>
        <v>0.57478966530723441</v>
      </c>
      <c r="K37" s="29">
        <f t="shared" si="6"/>
        <v>0.66305839853091464</v>
      </c>
      <c r="L37" s="29">
        <f t="shared" si="7"/>
        <v>0.67479573250256353</v>
      </c>
      <c r="M37" s="29">
        <f t="shared" si="8"/>
        <v>0.67873590131653927</v>
      </c>
    </row>
    <row r="38" spans="2:13" x14ac:dyDescent="0.25">
      <c r="B38" s="4">
        <f t="shared" si="2"/>
        <v>17</v>
      </c>
      <c r="C38" s="28">
        <f t="shared" si="3"/>
        <v>0.91029817799152246</v>
      </c>
      <c r="D38" s="28">
        <f>IF(ISNUMBER(B38),pd($C$7,C38,$E$9,$C$9),"")</f>
        <v>0.86497800744439757</v>
      </c>
      <c r="E38" s="28">
        <f>IF(ISNUMBER($B38),pd($C$7,$C38,$E$10,$C$10),"")</f>
        <v>0.8196657534849181</v>
      </c>
      <c r="F38" s="28">
        <f>IF(ISNUMBER($B38),pd($C$7,$C38,$E$11,$C$11),"")</f>
        <v>0.89224400422432382</v>
      </c>
      <c r="G38" s="28">
        <f>IF(ISNUMBER($B38),pd($C$7,$C38,$E$12,$C$12),"")</f>
        <v>0.90128454272943859</v>
      </c>
      <c r="H38" s="28">
        <f>IF(ISNUMBER($B38),pd($C$7,$C38,$E$13,$C$13),"")</f>
        <v>0.90429394427514054</v>
      </c>
      <c r="I38" s="28">
        <f t="shared" si="4"/>
        <v>0.81119023137492841</v>
      </c>
      <c r="J38" s="28">
        <f t="shared" si="5"/>
        <v>0.72480610452162164</v>
      </c>
      <c r="K38" s="28">
        <f t="shared" si="6"/>
        <v>0.86932469209384011</v>
      </c>
      <c r="L38" s="28">
        <f t="shared" si="7"/>
        <v>0.88958904561822738</v>
      </c>
      <c r="M38" s="28">
        <f t="shared" si="8"/>
        <v>0.89644547240199768</v>
      </c>
    </row>
    <row r="39" spans="2:13" x14ac:dyDescent="0.25">
      <c r="B39" s="5">
        <f t="shared" si="2"/>
        <v>18</v>
      </c>
      <c r="C39" s="29">
        <f t="shared" si="3"/>
        <v>1.2067926406393295</v>
      </c>
      <c r="D39" s="29">
        <f>IF(ISNUMBER(B39),pd($C$7,C39,$E$9,$C$9),"")</f>
        <v>1.129191885458882</v>
      </c>
      <c r="E39" s="29">
        <f>IF(ISNUMBER($B39),pd($C$7,$C39,$E$10,$C$10),"")</f>
        <v>1.0557433395767029</v>
      </c>
      <c r="F39" s="29">
        <f>IF(ISNUMBER($B39),pd($C$7,$C39,$E$11,$C$11),"")</f>
        <v>1.1753929368274096</v>
      </c>
      <c r="G39" s="29">
        <f>IF(ISNUMBER($B39),pd($C$7,$C39,$E$12,$C$12),"")</f>
        <v>1.1910338055917533</v>
      </c>
      <c r="H39" s="29">
        <f>IF(ISNUMBER($B39),pd($C$7,$C39,$E$13,$C$13),"")</f>
        <v>1.1962764232682657</v>
      </c>
      <c r="I39" s="29">
        <f t="shared" si="4"/>
        <v>1.0384249025287051</v>
      </c>
      <c r="J39" s="29">
        <f t="shared" si="5"/>
        <v>0.90117610080272748</v>
      </c>
      <c r="K39" s="29">
        <f t="shared" si="6"/>
        <v>1.135751242895513</v>
      </c>
      <c r="L39" s="29">
        <f t="shared" si="7"/>
        <v>1.1706432248217848</v>
      </c>
      <c r="M39" s="29">
        <f t="shared" si="8"/>
        <v>1.1825563553966862</v>
      </c>
    </row>
    <row r="40" spans="2:13" x14ac:dyDescent="0.25">
      <c r="B40" s="4">
        <f t="shared" si="2"/>
        <v>19</v>
      </c>
      <c r="C40" s="28">
        <f t="shared" si="3"/>
        <v>1.5998587196060594</v>
      </c>
      <c r="D40" s="28">
        <f>IF(ISNUMBER(B40),pd($C$7,C40,$E$9,$C$9),"")</f>
        <v>1.4674186785242826</v>
      </c>
      <c r="E40" s="28">
        <f>IF(ISNUMBER($B40),pd($C$7,$C40,$E$10,$C$10),"")</f>
        <v>1.3492666380063292</v>
      </c>
      <c r="F40" s="28">
        <f>IF(ISNUMBER($B40),pd($C$7,$C40,$E$11,$C$11),"")</f>
        <v>1.5453200251215711</v>
      </c>
      <c r="G40" s="28">
        <f>IF(ISNUMBER($B40),pd($C$7,$C40,$E$12,$C$12),"")</f>
        <v>1.5723256089672661</v>
      </c>
      <c r="H40" s="28">
        <f>IF(ISNUMBER($B40),pd($C$7,$C40,$E$13,$C$13),"")</f>
        <v>1.5814484686717829</v>
      </c>
      <c r="I40" s="28">
        <f t="shared" si="4"/>
        <v>1.3153982441275327</v>
      </c>
      <c r="J40" s="28">
        <f t="shared" si="5"/>
        <v>1.1005072616418803</v>
      </c>
      <c r="K40" s="28">
        <f t="shared" si="6"/>
        <v>1.4769672746020097</v>
      </c>
      <c r="L40" s="28">
        <f t="shared" si="7"/>
        <v>1.5368319947303566</v>
      </c>
      <c r="M40" s="28">
        <f t="shared" si="8"/>
        <v>1.5574897309161602</v>
      </c>
    </row>
    <row r="41" spans="2:13" x14ac:dyDescent="0.25">
      <c r="B41" s="5">
        <f t="shared" si="2"/>
        <v>20</v>
      </c>
      <c r="C41" s="29">
        <f t="shared" si="3"/>
        <v>2.1209508879201926</v>
      </c>
      <c r="D41" s="29">
        <f>IF(ISNUMBER(B41),pd($C$7,C41,$E$9,$C$9),"")</f>
        <v>1.8958588369138931</v>
      </c>
      <c r="E41" s="29">
        <f>IF(ISNUMBER($B41),pd($C$7,$C41,$E$10,$C$10),"")</f>
        <v>1.7077143610375376</v>
      </c>
      <c r="F41" s="29">
        <f>IF(ISNUMBER($B41),pd($C$7,$C41,$E$11,$C$11),"")</f>
        <v>2.0263850530640934</v>
      </c>
      <c r="G41" s="29">
        <f>IF(ISNUMBER($B41),pd($C$7,$C41,$E$12,$C$12),"")</f>
        <v>2.072889256653462</v>
      </c>
      <c r="H41" s="29">
        <f>IF(ISNUMBER($B41),pd($C$7,$C41,$E$13,$C$13),"")</f>
        <v>2.0887405758210571</v>
      </c>
      <c r="I41" s="29">
        <f t="shared" si="4"/>
        <v>1.6436551314510057</v>
      </c>
      <c r="J41" s="29">
        <f t="shared" si="5"/>
        <v>1.3136236046218008</v>
      </c>
      <c r="K41" s="29">
        <f t="shared" si="6"/>
        <v>1.9090070545798126</v>
      </c>
      <c r="L41" s="29">
        <f t="shared" si="7"/>
        <v>2.0112355372210753</v>
      </c>
      <c r="M41" s="29">
        <f t="shared" si="8"/>
        <v>2.0469615244161439</v>
      </c>
    </row>
    <row r="42" spans="2:13" x14ac:dyDescent="0.25">
      <c r="B42" s="4">
        <f t="shared" si="2"/>
        <v>21</v>
      </c>
      <c r="C42" s="28">
        <f t="shared" si="3"/>
        <v>2.8117686979742329</v>
      </c>
      <c r="D42" s="28">
        <f>IF(ISNUMBER(B42),pd($C$7,C42,$E$9,$C$9),"")</f>
        <v>2.4312159943379905</v>
      </c>
      <c r="E42" s="28">
        <f>IF(ISNUMBER($B42),pd($C$7,$C42,$E$10,$C$10),"")</f>
        <v>2.1355764991703059</v>
      </c>
      <c r="F42" s="28">
        <f>IF(ISNUMBER($B42),pd($C$7,$C42,$E$11,$C$11),"")</f>
        <v>2.6481703477324361</v>
      </c>
      <c r="G42" s="28">
        <f>IF(ISNUMBER($B42),pd($C$7,$C42,$E$12,$C$12),"")</f>
        <v>2.7279715300050951</v>
      </c>
      <c r="H42" s="28">
        <f>IF(ISNUMBER($B42),pd($C$7,$C42,$E$13,$C$13),"")</f>
        <v>2.7554592092490506</v>
      </c>
      <c r="I42" s="28">
        <f t="shared" si="4"/>
        <v>2.0177233848250493</v>
      </c>
      <c r="J42" s="28">
        <f t="shared" si="5"/>
        <v>1.52351499176828</v>
      </c>
      <c r="K42" s="28">
        <f t="shared" si="6"/>
        <v>2.4476827484234494</v>
      </c>
      <c r="L42" s="28">
        <f t="shared" si="7"/>
        <v>2.6211731086308236</v>
      </c>
      <c r="M42" s="28">
        <f t="shared" si="8"/>
        <v>2.6827410346561997</v>
      </c>
    </row>
    <row r="43" spans="2:13" x14ac:dyDescent="0.25">
      <c r="B43" s="5">
        <f t="shared" si="2"/>
        <v>22</v>
      </c>
      <c r="C43" s="29">
        <f t="shared" si="3"/>
        <v>3.7275937203149434</v>
      </c>
      <c r="D43" s="29">
        <f>IF(ISNUMBER(B43),pd($C$7,C43,$E$9,$C$9),"")</f>
        <v>3.0884114333924546</v>
      </c>
      <c r="E43" s="29">
        <f>IF(ISNUMBER($B43),pd($C$7,$C43,$E$10,$C$10),"")</f>
        <v>2.6318026476361562</v>
      </c>
      <c r="F43" s="29">
        <f>IF(ISNUMBER($B43),pd($C$7,$C43,$E$11,$C$11),"")</f>
        <v>3.4454084382527892</v>
      </c>
      <c r="G43" s="29">
        <f>IF(ISNUMBER($B43),pd($C$7,$C43,$E$12,$C$12),"")</f>
        <v>3.581717402665312</v>
      </c>
      <c r="H43" s="29">
        <f>IF(ISNUMBER($B43),pd($C$7,$C43,$E$13,$C$13),"")</f>
        <v>3.6292584551715437</v>
      </c>
      <c r="I43" s="29">
        <f t="shared" si="4"/>
        <v>2.4203529929896086</v>
      </c>
      <c r="J43" s="29">
        <f t="shared" si="5"/>
        <v>1.7044140261135114</v>
      </c>
      <c r="K43" s="29">
        <f t="shared" si="6"/>
        <v>3.1053660529626637</v>
      </c>
      <c r="L43" s="29">
        <f t="shared" si="7"/>
        <v>3.3973925962826605</v>
      </c>
      <c r="M43" s="29">
        <f t="shared" si="8"/>
        <v>3.5030009432581601</v>
      </c>
    </row>
    <row r="44" spans="2:13" x14ac:dyDescent="0.25">
      <c r="B44" s="4">
        <f t="shared" si="2"/>
        <v>23</v>
      </c>
      <c r="C44" s="28">
        <f t="shared" si="3"/>
        <v>4.9417133613238393</v>
      </c>
      <c r="D44" s="28">
        <f>IF(ISNUMBER(B44),pd($C$7,C44,$E$9,$C$9),"")</f>
        <v>3.8767479119492081</v>
      </c>
      <c r="E44" s="28">
        <f>IF(ISNUMBER($B44),pd($C$7,$C44,$E$10,$C$10),"")</f>
        <v>3.1869496676125242</v>
      </c>
      <c r="F44" s="28">
        <f>IF(ISNUMBER($B44),pd($C$7,$C44,$E$11,$C$11),"")</f>
        <v>4.4568614560204258</v>
      </c>
      <c r="G44" s="28">
        <f>IF(ISNUMBER($B44),pd($C$7,$C44,$E$12,$C$12),"")</f>
        <v>4.6882867846462641</v>
      </c>
      <c r="H44" s="28">
        <f>IF(ISNUMBER($B44),pd($C$7,$C44,$E$13,$C$13),"")</f>
        <v>4.7702256760635997</v>
      </c>
      <c r="I44" s="28">
        <f t="shared" si="4"/>
        <v>2.8170916565797546</v>
      </c>
      <c r="J44" s="28">
        <f t="shared" si="5"/>
        <v>1.8238845576628384</v>
      </c>
      <c r="K44" s="28">
        <f t="shared" si="6"/>
        <v>3.8854065205559714</v>
      </c>
      <c r="L44" s="28">
        <f t="shared" si="7"/>
        <v>4.3716848889052047</v>
      </c>
      <c r="M44" s="28">
        <f t="shared" si="8"/>
        <v>4.551721765327656</v>
      </c>
    </row>
    <row r="45" spans="2:13" x14ac:dyDescent="0.25">
      <c r="B45" s="5">
        <f t="shared" si="2"/>
        <v>24</v>
      </c>
      <c r="C45" s="29">
        <f t="shared" si="3"/>
        <v>6.5512855685955156</v>
      </c>
      <c r="D45" s="29">
        <f>IF(ISNUMBER(B45),pd($C$7,C45,$E$9,$C$9),"")</f>
        <v>4.7943066824063028</v>
      </c>
      <c r="E45" s="29">
        <f>IF(ISNUMBER($B45),pd($C$7,$C45,$E$10,$C$10),"")</f>
        <v>3.7810095975675995</v>
      </c>
      <c r="F45" s="29">
        <f>IF(ISNUMBER($B45),pd($C$7,$C45,$E$11,$C$11),"")</f>
        <v>5.7223825197034257</v>
      </c>
      <c r="G45" s="29">
        <f>IF(ISNUMBER($B45),pd($C$7,$C45,$E$12,$C$12),"")</f>
        <v>6.112194239741223</v>
      </c>
      <c r="H45" s="29">
        <f>IF(ISNUMBER($B45),pd($C$7,$C45,$E$13,$C$13),"")</f>
        <v>6.2527731880346931</v>
      </c>
      <c r="I45" s="29">
        <f t="shared" si="4"/>
        <v>3.1527219976755894</v>
      </c>
      <c r="J45" s="29">
        <f t="shared" si="5"/>
        <v>1.85006647244774</v>
      </c>
      <c r="K45" s="29">
        <f t="shared" si="6"/>
        <v>4.7734832117688821</v>
      </c>
      <c r="L45" s="29">
        <f t="shared" si="7"/>
        <v>5.5718171804537215</v>
      </c>
      <c r="M45" s="29">
        <f t="shared" si="8"/>
        <v>5.8762434312673122</v>
      </c>
    </row>
    <row r="46" spans="2:13" x14ac:dyDescent="0.25">
      <c r="B46" s="4">
        <f t="shared" si="2"/>
        <v>25</v>
      </c>
      <c r="C46" s="28">
        <f t="shared" si="3"/>
        <v>8.6851137375135359</v>
      </c>
      <c r="D46" s="28">
        <f>IF(ISNUMBER(B46),pd($C$7,C46,$E$9,$C$9),"")</f>
        <v>5.821184069595196</v>
      </c>
      <c r="E46" s="28">
        <f>IF(ISNUMBER($B46),pd($C$7,$C46,$E$10,$C$10),"")</f>
        <v>4.383597274741029</v>
      </c>
      <c r="F46" s="28">
        <f>IF(ISNUMBER($B46),pd($C$7,$C46,$E$11,$C$11),"")</f>
        <v>7.2771602552301289</v>
      </c>
      <c r="G46" s="28">
        <f>IF(ISNUMBER($B46),pd($C$7,$C46,$E$12,$C$12),"")</f>
        <v>7.9269984224052363</v>
      </c>
      <c r="H46" s="28">
        <f>IF(ISNUMBER($B46),pd($C$7,$C46,$E$13,$C$13),"")</f>
        <v>8.1667324605726783</v>
      </c>
      <c r="I46" s="28">
        <f t="shared" si="4"/>
        <v>3.354953361525288</v>
      </c>
      <c r="J46" s="28">
        <f t="shared" si="5"/>
        <v>1.7644230239505312</v>
      </c>
      <c r="K46" s="28">
        <f t="shared" si="6"/>
        <v>5.7258592627709133</v>
      </c>
      <c r="L46" s="28">
        <f t="shared" si="7"/>
        <v>7.0123017568217376</v>
      </c>
      <c r="M46" s="28">
        <f t="shared" si="8"/>
        <v>7.5215423890256261</v>
      </c>
    </row>
    <row r="47" spans="2:13" x14ac:dyDescent="0.25">
      <c r="B47" s="5">
        <f t="shared" si="2"/>
        <v>26</v>
      </c>
      <c r="C47" s="29">
        <f t="shared" si="3"/>
        <v>11.513953993264487</v>
      </c>
      <c r="D47" s="29">
        <f>IF(ISNUMBER(B47),pd($C$7,C47,$E$9,$C$9),"")</f>
        <v>6.9139305104687248</v>
      </c>
      <c r="E47" s="29">
        <f>IF(ISNUMBER($B47),pd($C$7,$C47,$E$10,$C$10),"")</f>
        <v>4.9582899073505864</v>
      </c>
      <c r="F47" s="29">
        <f>IF(ISNUMBER($B47),pd($C$7,$C47,$E$11,$C$11),"")</f>
        <v>9.1421376948840187</v>
      </c>
      <c r="G47" s="29">
        <f>IF(ISNUMBER($B47),pd($C$7,$C47,$E$12,$C$12),"")</f>
        <v>10.210984803549566</v>
      </c>
      <c r="H47" s="29">
        <f>IF(ISNUMBER($B47),pd($C$7,$C47,$E$13,$C$13),"")</f>
        <v>10.616584303446107</v>
      </c>
      <c r="I47" s="29">
        <f t="shared" si="4"/>
        <v>3.3521272460108311</v>
      </c>
      <c r="J47" s="29">
        <f t="shared" si="5"/>
        <v>1.5753038403489865</v>
      </c>
      <c r="K47" s="29">
        <f t="shared" si="6"/>
        <v>6.6564011248046491</v>
      </c>
      <c r="L47" s="29">
        <f t="shared" si="7"/>
        <v>8.6793926366160967</v>
      </c>
      <c r="M47" s="29">
        <f t="shared" si="8"/>
        <v>9.5192152406167683</v>
      </c>
    </row>
    <row r="48" spans="2:13" x14ac:dyDescent="0.25">
      <c r="B48" s="4">
        <f t="shared" si="2"/>
        <v>27</v>
      </c>
      <c r="C48" s="28">
        <f t="shared" si="3"/>
        <v>15.264179671752354</v>
      </c>
      <c r="D48" s="28">
        <f>IF(ISNUMBER(B48),pd($C$7,C48,$E$9,$C$9),"")</f>
        <v>8.0057564533987247</v>
      </c>
      <c r="E48" s="28">
        <f>IF(ISNUMBER($B48),pd($C$7,$C48,$E$10,$C$10),"")</f>
        <v>5.4713842724099981</v>
      </c>
      <c r="F48" s="28">
        <f>IF(ISNUMBER($B48),pd($C$7,$C48,$E$11,$C$11),"")</f>
        <v>11.31020319515968</v>
      </c>
      <c r="G48" s="28">
        <f>IF(ISNUMBER($B48),pd($C$7,$C48,$E$12,$C$12),"")</f>
        <v>13.037961631714534</v>
      </c>
      <c r="H48" s="28">
        <f>IF(ISNUMBER($B48),pd($C$7,$C48,$E$13,$C$13),"")</f>
        <v>13.717100898813575</v>
      </c>
      <c r="I48" s="28">
        <f t="shared" si="4"/>
        <v>3.1058995053764598</v>
      </c>
      <c r="J48" s="28">
        <f t="shared" si="5"/>
        <v>1.3221360267604501</v>
      </c>
      <c r="K48" s="28">
        <f t="shared" si="6"/>
        <v>7.4279798074174899</v>
      </c>
      <c r="L48" s="28">
        <f t="shared" si="7"/>
        <v>10.509456768285339</v>
      </c>
      <c r="M48" s="28">
        <f t="shared" si="8"/>
        <v>11.868730590710081</v>
      </c>
    </row>
    <row r="49" spans="2:13" x14ac:dyDescent="0.25">
      <c r="B49" s="5">
        <f t="shared" si="2"/>
        <v>28</v>
      </c>
      <c r="C49" s="29">
        <f t="shared" si="3"/>
        <v>20.235896477251597</v>
      </c>
      <c r="D49" s="29">
        <f>IF(ISNUMBER(B49),pd($C$7,C49,$E$9,$C$9),"")</f>
        <v>9.0173832226805359</v>
      </c>
      <c r="E49" s="29">
        <f>IF(ISNUMBER($B49),pd($C$7,$C49,$E$10,$C$10),"")</f>
        <v>5.9020190031820254</v>
      </c>
      <c r="F49" s="29">
        <f>IF(ISNUMBER($B49),pd($C$7,$C49,$E$11,$C$11),"")</f>
        <v>13.729580641809386</v>
      </c>
      <c r="G49" s="29">
        <f>IF(ISNUMBER($B49),pd($C$7,$C49,$E$12,$C$12),"")</f>
        <v>16.461011147322967</v>
      </c>
      <c r="H49" s="29">
        <f>IF(ISNUMBER($B49),pd($C$7,$C49,$E$13,$C$13),"")</f>
        <v>17.582881347334858</v>
      </c>
      <c r="I49" s="29">
        <f t="shared" si="4"/>
        <v>2.6442160863155566</v>
      </c>
      <c r="J49" s="29">
        <f t="shared" si="5"/>
        <v>1.0620804765002076</v>
      </c>
      <c r="K49" s="29">
        <f t="shared" si="6"/>
        <v>7.8593591150993056</v>
      </c>
      <c r="L49" s="29">
        <f t="shared" si="7"/>
        <v>12.362617250574393</v>
      </c>
      <c r="M49" s="29">
        <f t="shared" si="8"/>
        <v>14.508946515139257</v>
      </c>
    </row>
    <row r="50" spans="2:13" x14ac:dyDescent="0.25">
      <c r="B50" s="4">
        <f t="shared" si="2"/>
        <v>29</v>
      </c>
      <c r="C50" s="28">
        <f t="shared" si="3"/>
        <v>26.826957952797294</v>
      </c>
      <c r="D50" s="28">
        <f>IF(ISNUMBER(B50),pd($C$7,C50,$E$9,$C$9),"")</f>
        <v>9.8786344550697098</v>
      </c>
      <c r="E50" s="28">
        <f>IF(ISNUMBER($B50),pd($C$7,$C50,$E$10,$C$10),"")</f>
        <v>6.2479506855495019</v>
      </c>
      <c r="F50" s="28">
        <f>IF(ISNUMBER($B50),pd($C$7,$C50,$E$11,$C$11),"")</f>
        <v>16.289463231851453</v>
      </c>
      <c r="G50" s="28">
        <f>IF(ISNUMBER($B50),pd($C$7,$C50,$E$12,$C$12),"")</f>
        <v>20.487656094275394</v>
      </c>
      <c r="H50" s="28">
        <f>IF(ISNUMBER($B50),pd($C$7,$C50,$E$13,$C$13),"")</f>
        <v>22.308610130054721</v>
      </c>
      <c r="I50" s="28">
        <f t="shared" si="4"/>
        <v>2.06646392823655</v>
      </c>
      <c r="J50" s="28">
        <f t="shared" si="5"/>
        <v>0.8444644172403224</v>
      </c>
      <c r="K50" s="28">
        <f t="shared" si="6"/>
        <v>7.763046072534534</v>
      </c>
      <c r="L50" s="28">
        <f t="shared" si="7"/>
        <v>13.999837610661469</v>
      </c>
      <c r="M50" s="28">
        <f t="shared" si="8"/>
        <v>17.280543215929178</v>
      </c>
    </row>
    <row r="51" spans="2:13" x14ac:dyDescent="0.25">
      <c r="B51" s="5">
        <f t="shared" si="2"/>
        <v>30</v>
      </c>
      <c r="C51" s="29">
        <f t="shared" si="3"/>
        <v>35.564803062231341</v>
      </c>
      <c r="D51" s="29">
        <f>IF(ISNUMBER(B51),pd($C$7,C51,$E$9,$C$9),"")</f>
        <v>10.551705243078338</v>
      </c>
      <c r="E51" s="29">
        <f>IF(ISNUMBER($B51),pd($C$7,$C51,$E$10,$C$10),"")</f>
        <v>6.5230023440811031</v>
      </c>
      <c r="F51" s="29">
        <f>IF(ISNUMBER($B51),pd($C$7,$C51,$E$11,$C$11),"")</f>
        <v>18.81797556927561</v>
      </c>
      <c r="G51" s="29">
        <f>IF(ISNUMBER($B51),pd($C$7,$C51,$E$12,$C$12),"")</f>
        <v>25.047562320483713</v>
      </c>
      <c r="H51" s="29">
        <f>IF(ISNUMBER($B51),pd($C$7,$C51,$E$13,$C$13),"")</f>
        <v>27.937079459053912</v>
      </c>
      <c r="I51" s="29">
        <f t="shared" si="4"/>
        <v>1.504524549589054</v>
      </c>
      <c r="J51" s="29">
        <f t="shared" si="5"/>
        <v>0.6912108133697471</v>
      </c>
      <c r="K51" s="29">
        <f t="shared" si="6"/>
        <v>7.0241026493299792</v>
      </c>
      <c r="L51" s="29">
        <f t="shared" si="7"/>
        <v>15.082085853872133</v>
      </c>
      <c r="M51" s="29">
        <f t="shared" si="8"/>
        <v>19.886984166694617</v>
      </c>
    </row>
    <row r="52" spans="2:13" x14ac:dyDescent="0.25">
      <c r="B52" s="4">
        <f t="shared" si="2"/>
        <v>31</v>
      </c>
      <c r="C52" s="28">
        <f t="shared" si="3"/>
        <v>47.148663634574007</v>
      </c>
      <c r="D52" s="28">
        <f>IF(ISNUMBER(B52),pd($C$7,C52,$E$9,$C$9),"")</f>
        <v>11.041745988688833</v>
      </c>
      <c r="E52" s="28">
        <f>IF(ISNUMBER($B52),pd($C$7,$C52,$E$10,$C$10),"")</f>
        <v>6.7481375620144135</v>
      </c>
      <c r="F52" s="28">
        <f>IF(ISNUMBER($B52),pd($C$7,$C52,$E$11,$C$11),"")</f>
        <v>21.105805635233981</v>
      </c>
      <c r="G52" s="28">
        <f>IF(ISNUMBER($B52),pd($C$7,$C52,$E$12,$C$12),"")</f>
        <v>29.959969099895673</v>
      </c>
      <c r="H52" s="28">
        <f>IF(ISNUMBER($B52),pd($C$7,$C52,$E$13,$C$13),"")</f>
        <v>34.414496229456894</v>
      </c>
      <c r="I52" s="28">
        <f t="shared" si="4"/>
        <v>1.0612948235770148</v>
      </c>
      <c r="J52" s="28">
        <f t="shared" si="5"/>
        <v>0.59670343061047015</v>
      </c>
      <c r="K52" s="28">
        <f t="shared" si="6"/>
        <v>5.7003686441690027</v>
      </c>
      <c r="L52" s="28">
        <f t="shared" si="7"/>
        <v>15.221357534038296</v>
      </c>
      <c r="M52" s="28">
        <f t="shared" si="8"/>
        <v>21.874841747885988</v>
      </c>
    </row>
    <row r="53" spans="2:13" x14ac:dyDescent="0.25">
      <c r="B53" s="5">
        <f t="shared" si="2"/>
        <v>32</v>
      </c>
      <c r="C53" s="29">
        <f t="shared" si="3"/>
        <v>62.505519252739823</v>
      </c>
      <c r="D53" s="29">
        <f>IF(ISNUMBER(B53),pd($C$7,C53,$E$9,$C$9),"")</f>
        <v>11.387421774969816</v>
      </c>
      <c r="E53" s="29">
        <f>IF(ISNUMBER($B53),pd($C$7,$C53,$E$10,$C$10),"")</f>
        <v>6.9424906512508526</v>
      </c>
      <c r="F53" s="29">
        <f>IF(ISNUMBER($B53),pd($C$7,$C53,$E$11,$C$11),"")</f>
        <v>22.962480490693306</v>
      </c>
      <c r="G53" s="29">
        <f>IF(ISNUMBER($B53),pd($C$7,$C53,$E$12,$C$12),"")</f>
        <v>34.917738248442582</v>
      </c>
      <c r="H53" s="29">
        <f>IF(ISNUMBER($B53),pd($C$7,$C53,$E$13,$C$13),"")</f>
        <v>41.539380807228369</v>
      </c>
      <c r="I53" s="29">
        <f t="shared" si="4"/>
        <v>0.77226071390469231</v>
      </c>
      <c r="J53" s="29">
        <f t="shared" si="5"/>
        <v>0.54220919400568579</v>
      </c>
      <c r="K53" s="29">
        <f t="shared" si="6"/>
        <v>4.071837890381234</v>
      </c>
      <c r="L53" s="29">
        <f t="shared" si="7"/>
        <v>14.111898478199011</v>
      </c>
      <c r="M53" s="29">
        <f t="shared" si="8"/>
        <v>22.672472464188289</v>
      </c>
    </row>
    <row r="54" spans="2:13" x14ac:dyDescent="0.25">
      <c r="B54" s="4">
        <f t="shared" si="2"/>
        <v>33</v>
      </c>
      <c r="C54" s="28">
        <f t="shared" si="3"/>
        <v>82.864277285468575</v>
      </c>
      <c r="D54" s="28">
        <f>IF(ISNUMBER(B54),pd($C$7,C54,$E$9,$C$9),"")</f>
        <v>11.638955866687306</v>
      </c>
      <c r="E54" s="28">
        <f>IF(ISNUMBER($B54),pd($C$7,$C54,$E$10,$C$10),"")</f>
        <v>7.119094348265957</v>
      </c>
      <c r="F54" s="28">
        <f>IF(ISNUMBER($B54),pd($C$7,$C54,$E$11,$C$11),"")</f>
        <v>24.288724370430927</v>
      </c>
      <c r="G54" s="28">
        <f>IF(ISNUMBER($B54),pd($C$7,$C54,$E$12,$C$12),"")</f>
        <v>39.514143972845766</v>
      </c>
      <c r="H54" s="28">
        <f>IF(ISNUMBER($B54),pd($C$7,$C54,$E$13,$C$13),"")</f>
        <v>48.924062774843286</v>
      </c>
      <c r="I54" s="28">
        <f t="shared" si="4"/>
        <v>0.61349194497921422</v>
      </c>
      <c r="J54" s="28">
        <f t="shared" si="5"/>
        <v>0.51006732721804993</v>
      </c>
      <c r="K54" s="28">
        <f t="shared" si="6"/>
        <v>2.5493348209906848</v>
      </c>
      <c r="L54" s="28">
        <f t="shared" si="7"/>
        <v>11.730763691038424</v>
      </c>
      <c r="M54" s="28">
        <f t="shared" si="8"/>
        <v>21.737157334673906</v>
      </c>
    </row>
    <row r="55" spans="2:13" x14ac:dyDescent="0.25">
      <c r="B55" s="5">
        <f t="shared" si="2"/>
        <v>34</v>
      </c>
      <c r="C55" s="29">
        <f t="shared" ref="C55:C86" si="9">IF(ISNUMBER(B55),C54*10^(($C$6-$C$5)/($C$16-1)),0)</f>
        <v>109.85411419875601</v>
      </c>
      <c r="D55" s="29">
        <f>IF(ISNUMBER(B55),pd($C$7,C55,$E$9,$C$9),"")</f>
        <v>11.838777165865018</v>
      </c>
      <c r="E55" s="29">
        <f>IF(ISNUMBER($B55),pd($C$7,$C55,$E$10,$C$10),"")</f>
        <v>7.2852290739570451</v>
      </c>
      <c r="F55" s="29">
        <f>IF(ISNUMBER($B55),pd($C$7,$C55,$E$11,$C$11),"")</f>
        <v>25.119071696322219</v>
      </c>
      <c r="G55" s="29">
        <f>IF(ISNUMBER($B55),pd($C$7,$C55,$E$12,$C$12),"")</f>
        <v>43.33498703406876</v>
      </c>
      <c r="H55" s="29">
        <f>IF(ISNUMBER($B55),pd($C$7,$C55,$E$13,$C$13),"")</f>
        <v>56.004101974366982</v>
      </c>
      <c r="I55" s="29">
        <f t="shared" si="4"/>
        <v>0.53722380079462329</v>
      </c>
      <c r="J55" s="29">
        <f t="shared" si="5"/>
        <v>0.48933892142685681</v>
      </c>
      <c r="K55" s="29">
        <f t="shared" si="6"/>
        <v>1.4566621879574579</v>
      </c>
      <c r="L55" s="29">
        <f t="shared" si="7"/>
        <v>8.5030792882503476</v>
      </c>
      <c r="M55" s="29">
        <f t="shared" si="8"/>
        <v>18.831172229220172</v>
      </c>
    </row>
    <row r="56" spans="2:13" x14ac:dyDescent="0.25">
      <c r="B56" s="4">
        <f t="shared" si="2"/>
        <v>35</v>
      </c>
      <c r="C56" s="28">
        <f t="shared" si="9"/>
        <v>145.63484775012464</v>
      </c>
      <c r="D56" s="28">
        <f>IF(ISNUMBER(B56),pd($C$7,C56,$E$9,$C$9),"")</f>
        <v>12.013757063649344</v>
      </c>
      <c r="E56" s="28">
        <f>IF(ISNUMBER($B56),pd($C$7,$C56,$E$10,$C$10),"")</f>
        <v>7.4446123222913778</v>
      </c>
      <c r="F56" s="28">
        <f>IF(ISNUMBER($B56),pd($C$7,$C56,$E$11,$C$11),"")</f>
        <v>25.593523126765319</v>
      </c>
      <c r="G56" s="28">
        <f>IF(ISNUMBER($B56),pd($C$7,$C56,$E$12,$C$12),"")</f>
        <v>46.104536600765755</v>
      </c>
      <c r="H56" s="28">
        <f>IF(ISNUMBER($B56),pd($C$7,$C56,$E$13,$C$13),"")</f>
        <v>62.137628796808826</v>
      </c>
      <c r="I56" s="28">
        <f t="shared" si="4"/>
        <v>0.50213421191212781</v>
      </c>
      <c r="J56" s="28">
        <f t="shared" si="5"/>
        <v>0.47478928647738827</v>
      </c>
      <c r="K56" s="28">
        <f t="shared" si="6"/>
        <v>0.86278762778745177</v>
      </c>
      <c r="L56" s="28">
        <f t="shared" si="7"/>
        <v>5.2375759043419405</v>
      </c>
      <c r="M56" s="28">
        <f t="shared" si="8"/>
        <v>14.329074451155005</v>
      </c>
    </row>
    <row r="57" spans="2:13" x14ac:dyDescent="0.25">
      <c r="B57" s="5">
        <f t="shared" si="2"/>
        <v>36</v>
      </c>
      <c r="C57" s="29">
        <f t="shared" si="9"/>
        <v>193.06977288832536</v>
      </c>
      <c r="D57" s="29">
        <f>IF(ISNUMBER(B57),pd($C$7,C57,$E$9,$C$9),"")</f>
        <v>12.177307883520756</v>
      </c>
      <c r="E57" s="29">
        <f>IF(ISNUMBER($B57),pd($C$7,$C57,$E$10,$C$10),"")</f>
        <v>7.5992565891574815</v>
      </c>
      <c r="F57" s="29">
        <f>IF(ISNUMBER($B57),pd($C$7,$C57,$E$11,$C$11),"")</f>
        <v>25.874542863226221</v>
      </c>
      <c r="G57" s="29">
        <f>IF(ISNUMBER($B57),pd($C$7,$C57,$E$12,$C$12),"")</f>
        <v>47.810474600950819</v>
      </c>
      <c r="H57" s="29">
        <f>IF(ISNUMBER($B57),pd($C$7,$C57,$E$13,$C$13),"")</f>
        <v>66.804771203936866</v>
      </c>
      <c r="I57" s="29">
        <f t="shared" si="4"/>
        <v>0.48389827180683831</v>
      </c>
      <c r="J57" s="29">
        <f t="shared" si="5"/>
        <v>0.46415339788036358</v>
      </c>
      <c r="K57" s="29">
        <f t="shared" si="6"/>
        <v>0.62079407299520972</v>
      </c>
      <c r="L57" s="29">
        <f t="shared" si="7"/>
        <v>2.7329349887862713</v>
      </c>
      <c r="M57" s="29">
        <f t="shared" si="8"/>
        <v>9.2829447592443231</v>
      </c>
    </row>
    <row r="58" spans="2:13" x14ac:dyDescent="0.25">
      <c r="B58" s="4">
        <f t="shared" si="2"/>
        <v>37</v>
      </c>
      <c r="C58" s="28">
        <f t="shared" si="9"/>
        <v>255.95479226995405</v>
      </c>
      <c r="D58" s="28">
        <f>IF(ISNUMBER(B58),pd($C$7,C58,$E$9,$C$9),"")</f>
        <v>12.334919050437655</v>
      </c>
      <c r="E58" s="28">
        <f>IF(ISNUMBER($B58),pd($C$7,$C58,$E$10,$C$10),"")</f>
        <v>7.750436626224384</v>
      </c>
      <c r="F58" s="28">
        <f>IF(ISNUMBER($B58),pd($C$7,$C58,$E$11,$C$11),"")</f>
        <v>26.076742548491737</v>
      </c>
      <c r="G58" s="28">
        <f>IF(ISNUMBER($B58),pd($C$7,$C58,$E$12,$C$12),"")</f>
        <v>48.700622588217385</v>
      </c>
      <c r="H58" s="28">
        <f>IF(ISNUMBER($B58),pd($C$7,$C58,$E$13,$C$13),"")</f>
        <v>69.828331818167882</v>
      </c>
      <c r="I58" s="28">
        <f t="shared" si="4"/>
        <v>0.47192079551442417</v>
      </c>
      <c r="J58" s="28">
        <f t="shared" si="5"/>
        <v>0.45630144052644861</v>
      </c>
      <c r="K58" s="28">
        <f t="shared" si="6"/>
        <v>0.54110520047325528</v>
      </c>
      <c r="L58" s="28">
        <f t="shared" si="7"/>
        <v>1.3111400924164349</v>
      </c>
      <c r="M58" s="28">
        <f t="shared" si="8"/>
        <v>4.9883228315917965</v>
      </c>
    </row>
    <row r="59" spans="2:13" x14ac:dyDescent="0.25">
      <c r="B59" s="5">
        <f t="shared" si="2"/>
        <v>38</v>
      </c>
      <c r="C59" s="29">
        <f t="shared" si="9"/>
        <v>339.32217718953353</v>
      </c>
      <c r="D59" s="29">
        <f>IF(ISNUMBER(B59),pd($C$7,C59,$E$9,$C$9),"")</f>
        <v>12.488629017195029</v>
      </c>
      <c r="E59" s="29">
        <f>IF(ISNUMBER($B59),pd($C$7,$C59,$E$10,$C$10),"")</f>
        <v>7.8990591915389876</v>
      </c>
      <c r="F59" s="29">
        <f>IF(ISNUMBER($B59),pd($C$7,$C59,$E$11,$C$11),"")</f>
        <v>26.252986662265791</v>
      </c>
      <c r="G59" s="29">
        <f>IF(ISNUMBER($B59),pd($C$7,$C59,$E$12,$C$12),"")</f>
        <v>49.127675818198284</v>
      </c>
      <c r="H59" s="29">
        <f>IF(ISNUMBER($B59),pd($C$7,$C59,$E$13,$C$13),"")</f>
        <v>71.453085259649967</v>
      </c>
      <c r="I59" s="29">
        <f t="shared" si="4"/>
        <v>0.46274073419195128</v>
      </c>
      <c r="J59" s="29">
        <f t="shared" si="5"/>
        <v>0.45049558808871581</v>
      </c>
      <c r="K59" s="29">
        <f t="shared" si="6"/>
        <v>0.50940428948480088</v>
      </c>
      <c r="L59" s="29">
        <f t="shared" si="7"/>
        <v>0.73586968187487367</v>
      </c>
      <c r="M59" s="29">
        <f t="shared" si="8"/>
        <v>2.2461024160485605</v>
      </c>
    </row>
    <row r="60" spans="2:13" x14ac:dyDescent="0.25">
      <c r="B60" s="4">
        <f t="shared" si="2"/>
        <v>39</v>
      </c>
      <c r="C60" s="28">
        <f t="shared" si="9"/>
        <v>449.84326689694547</v>
      </c>
      <c r="D60" s="28">
        <f>IF(ISNUMBER(B60),pd($C$7,C60,$E$9,$C$9),"")</f>
        <v>12.639348933642859</v>
      </c>
      <c r="E60" s="28">
        <f>IF(ISNUMBER($B60),pd($C$7,$C60,$E$10,$C$10),"")</f>
        <v>8.0457907247276825</v>
      </c>
      <c r="F60" s="28">
        <f>IF(ISNUMBER($B60),pd($C$7,$C60,$E$11,$C$11),"")</f>
        <v>26.418905429031344</v>
      </c>
      <c r="G60" s="28">
        <f>IF(ISNUMBER($B60),pd($C$7,$C60,$E$12,$C$12),"")</f>
        <v>49.367356937178108</v>
      </c>
      <c r="H60" s="28">
        <f>IF(ISNUMBER($B60),pd($C$7,$C60,$E$13,$C$13),"")</f>
        <v>72.184666344836387</v>
      </c>
      <c r="I60" s="28">
        <f t="shared" si="4"/>
        <v>0.45547963391292445</v>
      </c>
      <c r="J60" s="28">
        <f t="shared" si="5"/>
        <v>0.44618752515354454</v>
      </c>
      <c r="K60" s="28">
        <f t="shared" si="6"/>
        <v>0.48793414924382877</v>
      </c>
      <c r="L60" s="28">
        <f t="shared" si="7"/>
        <v>0.5694104516446985</v>
      </c>
      <c r="M60" s="28">
        <f t="shared" si="8"/>
        <v>0.98643502569607844</v>
      </c>
    </row>
    <row r="61" spans="2:13" x14ac:dyDescent="0.25">
      <c r="B61" s="5">
        <f t="shared" si="2"/>
        <v>40</v>
      </c>
      <c r="C61" s="29">
        <f t="shared" si="9"/>
        <v>596.36233165946555</v>
      </c>
      <c r="D61" s="29">
        <f>IF(ISNUMBER(B61),pd($C$7,C61,$E$9,$C$9),"")</f>
        <v>12.787703827203121</v>
      </c>
      <c r="E61" s="29">
        <f>IF(ISNUMBER($B61),pd($C$7,$C61,$E$10,$C$10),"")</f>
        <v>8.1911190728547147</v>
      </c>
      <c r="F61" s="29">
        <f>IF(ISNUMBER($B61),pd($C$7,$C61,$E$11,$C$11),"")</f>
        <v>26.5778311270996</v>
      </c>
      <c r="G61" s="29">
        <f>IF(ISNUMBER($B61),pd($C$7,$C61,$E$12,$C$12),"")</f>
        <v>49.552820392964584</v>
      </c>
      <c r="H61" s="29">
        <f>IF(ISNUMBER($B61),pd($C$7,$C61,$E$13,$C$13),"")</f>
        <v>72.505959444121771</v>
      </c>
      <c r="I61" s="29">
        <f t="shared" si="4"/>
        <v>0.44984646365793829</v>
      </c>
      <c r="J61" s="29">
        <f t="shared" si="5"/>
        <v>0.44297054217946591</v>
      </c>
      <c r="K61" s="29">
        <f t="shared" si="6"/>
        <v>0.4715695376939239</v>
      </c>
      <c r="L61" s="29">
        <f t="shared" si="7"/>
        <v>0.52055841607108344</v>
      </c>
      <c r="M61" s="29">
        <f t="shared" si="8"/>
        <v>0.60171255265636248</v>
      </c>
    </row>
    <row r="62" spans="2:13" x14ac:dyDescent="0.25">
      <c r="B62" s="4">
        <f t="shared" si="2"/>
        <v>41</v>
      </c>
      <c r="C62" s="28">
        <f t="shared" si="9"/>
        <v>790.60432109077169</v>
      </c>
      <c r="D62" s="28">
        <f>IF(ISNUMBER(B62),pd($C$7,C62,$E$9,$C$9),"")</f>
        <v>12.934223933187029</v>
      </c>
      <c r="E62" s="28">
        <f>IF(ISNUMBER($B62),pd($C$7,$C62,$E$10,$C$10),"")</f>
        <v>8.3353996130641796</v>
      </c>
      <c r="F62" s="28">
        <f>IF(ISNUMBER($B62),pd($C$7,$C62,$E$11,$C$11),"")</f>
        <v>26.731426685192584</v>
      </c>
      <c r="G62" s="28">
        <f>IF(ISNUMBER($B62),pd($C$7,$C62,$E$12,$C$12),"")</f>
        <v>49.722372185532521</v>
      </c>
      <c r="H62" s="28">
        <f>IF(ISNUMBER($B62),pd($C$7,$C62,$E$13,$C$13),"")</f>
        <v>72.701944061340185</v>
      </c>
      <c r="I62" s="28">
        <f t="shared" si="4"/>
        <v>0.44557789695971639</v>
      </c>
      <c r="J62" s="28">
        <f t="shared" si="5"/>
        <v>0.44055132298665101</v>
      </c>
      <c r="K62" s="28">
        <f t="shared" si="6"/>
        <v>0.46026921596189663</v>
      </c>
      <c r="L62" s="28">
        <f t="shared" si="7"/>
        <v>0.49258017350060113</v>
      </c>
      <c r="M62" s="28">
        <f t="shared" si="8"/>
        <v>0.53027118618723412</v>
      </c>
    </row>
    <row r="63" spans="2:13" x14ac:dyDescent="0.25">
      <c r="B63" s="5">
        <f t="shared" si="2"/>
        <v>42</v>
      </c>
      <c r="C63" s="29">
        <f t="shared" si="9"/>
        <v>1048.1131341546882</v>
      </c>
      <c r="D63" s="29">
        <f>IF(ISNUMBER(B63),pd($C$7,C63,$E$9,$C$9),"")</f>
        <v>13.079353718482547</v>
      </c>
      <c r="E63" s="29">
        <f>IF(ISNUMBER($B63),pd($C$7,$C63,$E$10,$C$10),"")</f>
        <v>8.478892186086691</v>
      </c>
      <c r="F63" s="29">
        <f>IF(ISNUMBER($B63),pd($C$7,$C63,$E$11,$C$11),"")</f>
        <v>26.881341600062623</v>
      </c>
      <c r="G63" s="29">
        <f>IF(ISNUMBER($B63),pd($C$7,$C63,$E$12,$C$12),"")</f>
        <v>49.882811146506015</v>
      </c>
      <c r="H63" s="29">
        <f>IF(ISNUMBER($B63),pd($C$7,$C63,$E$13,$C$13),"")</f>
        <v>72.874659413526317</v>
      </c>
      <c r="I63" s="29">
        <f t="shared" si="4"/>
        <v>0.44238868859934211</v>
      </c>
      <c r="J63" s="29">
        <f t="shared" si="5"/>
        <v>0.43872100274171644</v>
      </c>
      <c r="K63" s="29">
        <f t="shared" si="6"/>
        <v>0.45282231981449667</v>
      </c>
      <c r="L63" s="29">
        <f t="shared" si="7"/>
        <v>0.47322015224840713</v>
      </c>
      <c r="M63" s="29">
        <f t="shared" si="8"/>
        <v>0.51020090608512048</v>
      </c>
    </row>
    <row r="64" spans="2:13" x14ac:dyDescent="0.25">
      <c r="B64" s="4">
        <f t="shared" si="2"/>
        <v>43</v>
      </c>
      <c r="C64" s="28">
        <f t="shared" si="9"/>
        <v>1389.4954943731409</v>
      </c>
      <c r="D64" s="28">
        <f>IF(ISNUMBER(B64),pd($C$7,C64,$E$9,$C$9),"")</f>
        <v>13.223444742367857</v>
      </c>
      <c r="E64" s="28">
        <f>IF(ISNUMBER($B64),pd($C$7,$C64,$E$10,$C$10),"")</f>
        <v>8.6217886030027575</v>
      </c>
      <c r="F64" s="28">
        <f>IF(ISNUMBER($B64),pd($C$7,$C64,$E$11,$C$11),"")</f>
        <v>27.028830976219083</v>
      </c>
      <c r="G64" s="28">
        <f>IF(ISNUMBER($B64),pd($C$7,$C64,$E$12,$C$12),"")</f>
        <v>50.036944328519603</v>
      </c>
      <c r="H64" s="28">
        <f>IF(ISNUMBER($B64),pd($C$7,$C64,$E$13,$C$13),"")</f>
        <v>73.040837647372612</v>
      </c>
      <c r="I64" s="28">
        <f t="shared" si="4"/>
        <v>0.4400168333905356</v>
      </c>
      <c r="J64" s="28">
        <f t="shared" si="5"/>
        <v>0.43733005175552181</v>
      </c>
      <c r="K64" s="28">
        <f t="shared" si="6"/>
        <v>0.4477480890627088</v>
      </c>
      <c r="L64" s="28">
        <f t="shared" si="7"/>
        <v>0.46149463715644462</v>
      </c>
      <c r="M64" s="28">
        <f t="shared" si="8"/>
        <v>0.4874038630541202</v>
      </c>
    </row>
    <row r="65" spans="2:13" x14ac:dyDescent="0.25">
      <c r="B65" s="5">
        <f t="shared" si="2"/>
        <v>44</v>
      </c>
      <c r="C65" s="29">
        <f t="shared" si="9"/>
        <v>1842.0699693267204</v>
      </c>
      <c r="D65" s="29">
        <f>IF(ISNUMBER(B65),pd($C$7,C65,$E$9,$C$9),"")</f>
        <v>13.366763226054124</v>
      </c>
      <c r="E65" s="29">
        <f>IF(ISNUMBER($B65),pd($C$7,$C65,$E$10,$C$10),"")</f>
        <v>8.7642319713736416</v>
      </c>
      <c r="F65" s="29">
        <f>IF(ISNUMBER($B65),pd($C$7,$C65,$E$11,$C$11),"")</f>
        <v>27.17466761774806</v>
      </c>
      <c r="G65" s="29">
        <f>IF(ISNUMBER($B65),pd($C$7,$C65,$E$12,$C$12),"")</f>
        <v>50.18725837700034</v>
      </c>
      <c r="H65" s="29">
        <f>IF(ISNUMBER($B65),pd($C$7,$C65,$E$13,$C$13),"")</f>
        <v>73.199590625201864</v>
      </c>
      <c r="I65" s="29">
        <f t="shared" si="4"/>
        <v>0.43825027633780994</v>
      </c>
      <c r="J65" s="29">
        <f t="shared" si="5"/>
        <v>0.43626983935925034</v>
      </c>
      <c r="K65" s="29">
        <f t="shared" si="6"/>
        <v>0.44408471911065112</v>
      </c>
      <c r="L65" s="29">
        <f t="shared" si="7"/>
        <v>0.45423857875590906</v>
      </c>
      <c r="M65" s="29">
        <f t="shared" si="8"/>
        <v>0.46797413520289355</v>
      </c>
    </row>
    <row r="66" spans="2:13" x14ac:dyDescent="0.25">
      <c r="B66" s="4">
        <f t="shared" si="2"/>
        <v>45</v>
      </c>
      <c r="C66" s="28">
        <f t="shared" si="9"/>
        <v>2442.0530945486571</v>
      </c>
      <c r="D66" s="28">
        <f>IF(ISNUMBER(B66),pd($C$7,C66,$E$9,$C$9),"")</f>
        <v>13.509506322030354</v>
      </c>
      <c r="E66" s="28">
        <f>IF(ISNUMBER($B66),pd($C$7,$C66,$E$10,$C$10),"")</f>
        <v>8.9063300165171206</v>
      </c>
      <c r="F66" s="28">
        <f>IF(ISNUMBER($B66),pd($C$7,$C66,$E$11,$C$11),"")</f>
        <v>27.31931105804729</v>
      </c>
      <c r="G66" s="28">
        <f>IF(ISNUMBER($B66),pd($C$7,$C66,$E$12,$C$12),"")</f>
        <v>50.335209044790638</v>
      </c>
      <c r="H66" s="28">
        <f>IF(ISNUMBER($B66),pd($C$7,$C66,$E$13,$C$13),"")</f>
        <v>73.352015119839649</v>
      </c>
      <c r="I66" s="28">
        <f t="shared" si="4"/>
        <v>0.43692904394416116</v>
      </c>
      <c r="J66" s="28">
        <f t="shared" si="5"/>
        <v>0.43546018754665383</v>
      </c>
      <c r="K66" s="28">
        <f t="shared" si="6"/>
        <v>0.44134117085339242</v>
      </c>
      <c r="L66" s="28">
        <f t="shared" si="7"/>
        <v>0.44905998602922409</v>
      </c>
      <c r="M66" s="28">
        <f t="shared" si="8"/>
        <v>0.45611966298099915</v>
      </c>
    </row>
    <row r="67" spans="2:13" x14ac:dyDescent="0.25">
      <c r="B67" s="5">
        <f t="shared" si="2"/>
        <v>46</v>
      </c>
      <c r="C67" s="29">
        <f t="shared" si="9"/>
        <v>3237.4575428176522</v>
      </c>
      <c r="D67" s="29">
        <f>IF(ISNUMBER(B67),pd($C$7,C67,$E$9,$C$9),"")</f>
        <v>13.651819077599388</v>
      </c>
      <c r="E67" s="29">
        <f>IF(ISNUMBER($B67),pd($C$7,$C67,$E$10,$C$10),"")</f>
        <v>9.0481643488630663</v>
      </c>
      <c r="F67" s="29">
        <f>IF(ISNUMBER($B67),pd($C$7,$C67,$E$11,$C$11),"")</f>
        <v>27.463060893497087</v>
      </c>
      <c r="G67" s="29">
        <f>IF(ISNUMBER($B67),pd($C$7,$C67,$E$12,$C$12),"")</f>
        <v>50.481472986072092</v>
      </c>
      <c r="H67" s="29">
        <f>IF(ISNUMBER($B67),pd($C$7,$C67,$E$13,$C$13),"")</f>
        <v>73.500578478141691</v>
      </c>
      <c r="I67" s="29">
        <f t="shared" si="4"/>
        <v>0.43593623174665758</v>
      </c>
      <c r="J67" s="29">
        <f t="shared" si="5"/>
        <v>0.43484115102015963</v>
      </c>
      <c r="K67" s="29">
        <f t="shared" si="6"/>
        <v>0.43926195000346513</v>
      </c>
      <c r="L67" s="29">
        <f t="shared" si="7"/>
        <v>0.44506820747235154</v>
      </c>
      <c r="M67" s="29">
        <f t="shared" si="8"/>
        <v>0.44959192763641481</v>
      </c>
    </row>
    <row r="68" spans="2:13" x14ac:dyDescent="0.25">
      <c r="B68" s="4">
        <f t="shared" si="2"/>
        <v>47</v>
      </c>
      <c r="C68" s="28">
        <f t="shared" si="9"/>
        <v>4291.934260128789</v>
      </c>
      <c r="D68" s="28">
        <f>IF(ISNUMBER(B68),pd($C$7,C68,$E$9,$C$9),"")</f>
        <v>13.793808462951798</v>
      </c>
      <c r="E68" s="28">
        <f>IF(ISNUMBER($B68),pd($C$7,$C68,$E$10,$C$10),"")</f>
        <v>9.1897970539766174</v>
      </c>
      <c r="F68" s="28">
        <f>IF(ISNUMBER($B68),pd($C$7,$C68,$E$11,$C$11),"")</f>
        <v>27.606133503084489</v>
      </c>
      <c r="G68" s="28">
        <f>IF(ISNUMBER($B68),pd($C$7,$C68,$E$12,$C$12),"")</f>
        <v>50.626436759708653</v>
      </c>
      <c r="H68" s="28">
        <f>IF(ISNUMBER($B68),pd($C$7,$C68,$E$13,$C$13),"")</f>
        <v>73.647015678850437</v>
      </c>
      <c r="I68" s="28">
        <f t="shared" si="4"/>
        <v>0.43518712686718886</v>
      </c>
      <c r="J68" s="28">
        <f t="shared" si="5"/>
        <v>0.43436751239031879</v>
      </c>
      <c r="K68" s="28">
        <f t="shared" si="6"/>
        <v>0.43768658063199911</v>
      </c>
      <c r="L68" s="28">
        <f t="shared" si="7"/>
        <v>0.44200072394928963</v>
      </c>
      <c r="M68" s="28">
        <f t="shared" si="8"/>
        <v>0.44556937177580819</v>
      </c>
    </row>
    <row r="69" spans="2:13" x14ac:dyDescent="0.25">
      <c r="B69" s="5">
        <f t="shared" si="2"/>
        <v>48</v>
      </c>
      <c r="C69" s="29">
        <f t="shared" si="9"/>
        <v>5689.8660290183116</v>
      </c>
      <c r="D69" s="29">
        <f>IF(ISNUMBER(B69),pd($C$7,C69,$E$9,$C$9),"")</f>
        <v>13.935553856330946</v>
      </c>
      <c r="E69" s="29">
        <f>IF(ISNUMBER($B69),pd($C$7,$C69,$E$10,$C$10),"")</f>
        <v>9.3312754896052468</v>
      </c>
      <c r="F69" s="29">
        <f>IF(ISNUMBER($B69),pd($C$7,$C69,$E$11,$C$11),"")</f>
        <v>27.748692996962603</v>
      </c>
      <c r="G69" s="29">
        <f>IF(ISNUMBER($B69),pd($C$7,$C69,$E$12,$C$12),"")</f>
        <v>50.770401419097993</v>
      </c>
      <c r="H69" s="29">
        <f>IF(ISNUMBER($B69),pd($C$7,$C69,$E$13,$C$13),"")</f>
        <v>73.792142687396662</v>
      </c>
      <c r="I69" s="29">
        <f t="shared" si="4"/>
        <v>0.43462009918728883</v>
      </c>
      <c r="J69" s="29">
        <f t="shared" si="5"/>
        <v>0.43400496122232557</v>
      </c>
      <c r="K69" s="29">
        <f t="shared" si="6"/>
        <v>0.4364959701310438</v>
      </c>
      <c r="L69" s="29">
        <f t="shared" si="7"/>
        <v>0.43969260733535526</v>
      </c>
      <c r="M69" s="29">
        <f t="shared" si="8"/>
        <v>0.44263661204439458</v>
      </c>
    </row>
    <row r="70" spans="2:13" x14ac:dyDescent="0.25">
      <c r="B70" s="4">
        <f t="shared" si="2"/>
        <v>49</v>
      </c>
      <c r="C70" s="28">
        <f t="shared" si="9"/>
        <v>7543.1200633546378</v>
      </c>
      <c r="D70" s="28">
        <f>IF(ISNUMBER(B70),pd($C$7,C70,$E$9,$C$9),"")</f>
        <v>14.077114562350147</v>
      </c>
      <c r="E70" s="28">
        <f>IF(ISNUMBER($B70),pd($C$7,$C70,$E$10,$C$10),"")</f>
        <v>9.4726358381978528</v>
      </c>
      <c r="F70" s="28">
        <f>IF(ISNUMBER($B70),pd($C$7,$C70,$E$11,$C$11),"")</f>
        <v>27.890864695468565</v>
      </c>
      <c r="G70" s="28">
        <f>IF(ISNUMBER($B70),pd($C$7,$C70,$E$12,$C$12),"")</f>
        <v>50.913614298673068</v>
      </c>
      <c r="H70" s="28">
        <f>IF(ISNUMBER($B70),pd($C$7,$C70,$E$13,$C$13),"")</f>
        <v>73.936314462765822</v>
      </c>
      <c r="I70" s="28">
        <f t="shared" si="4"/>
        <v>0.43418990851731637</v>
      </c>
      <c r="J70" s="28">
        <f t="shared" si="5"/>
        <v>0.43372737160761404</v>
      </c>
      <c r="K70" s="28">
        <f t="shared" si="6"/>
        <v>0.43559772872729829</v>
      </c>
      <c r="L70" s="28">
        <f t="shared" si="7"/>
        <v>0.43797249614546524</v>
      </c>
      <c r="M70" s="28">
        <f t="shared" si="8"/>
        <v>0.4403304779824555</v>
      </c>
    </row>
    <row r="71" spans="2:13" x14ac:dyDescent="0.25">
      <c r="B71" s="5">
        <f t="shared" si="2"/>
        <v>50</v>
      </c>
      <c r="C71" s="29">
        <f t="shared" si="9"/>
        <v>10000.000000000027</v>
      </c>
      <c r="D71" s="29">
        <f>IF(ISNUMBER(B71),pd($C$7,C71,$E$9,$C$9),"")</f>
        <v>14.218535150378766</v>
      </c>
      <c r="E71" s="29">
        <f>IF(ISNUMBER($B71),pd($C$7,$C71,$E$10,$C$10),"")</f>
        <v>9.6139057726979775</v>
      </c>
      <c r="F71" s="29">
        <f>IF(ISNUMBER($B71),pd($C$7,$C71,$E$11,$C$11),"")</f>
        <v>28.032743826540283</v>
      </c>
      <c r="G71" s="29">
        <f>IF(ISNUMBER($B71),pd($C$7,$C71,$E$12,$C$12),"")</f>
        <v>51.056266918483516</v>
      </c>
      <c r="H71" s="29">
        <f>IF(ISNUMBER($B71),pd($C$7,$C71,$E$13,$C$13),"")</f>
        <v>74.079735104060433</v>
      </c>
      <c r="I71" s="29" t="str">
        <f t="shared" si="4"/>
        <v/>
      </c>
      <c r="J71" s="29" t="str">
        <f t="shared" si="5"/>
        <v/>
      </c>
      <c r="K71" s="29" t="str">
        <f t="shared" si="6"/>
        <v/>
      </c>
      <c r="L71" s="29" t="str">
        <f t="shared" si="7"/>
        <v/>
      </c>
      <c r="M71" s="29" t="str">
        <f t="shared" si="8"/>
        <v/>
      </c>
    </row>
    <row r="72" spans="2:13" x14ac:dyDescent="0.25">
      <c r="B72" s="4" t="str">
        <f t="shared" si="2"/>
        <v/>
      </c>
      <c r="C72" s="28">
        <f t="shared" si="9"/>
        <v>0</v>
      </c>
      <c r="D72" s="28" t="str">
        <f>IF(ISNUMBER(B72),pd($C$7,C72,$E$9,$C$9),"")</f>
        <v/>
      </c>
      <c r="E72" s="28" t="str">
        <f>IF(ISNUMBER($B72),pd($C$7,$C72,$E$10,$C$10),"")</f>
        <v/>
      </c>
      <c r="F72" s="28" t="str">
        <f>IF(ISNUMBER($B72),pd($C$7,$C72,$E$11,$C$11),"")</f>
        <v/>
      </c>
      <c r="G72" s="28" t="str">
        <f>IF(ISNUMBER($B72),pd($C$7,$C72,$E$12,$C$12),"")</f>
        <v/>
      </c>
      <c r="H72" s="28" t="str">
        <f>IF(ISNUMBER($B72),pd($C$7,$C72,$E$13,$C$13),"")</f>
        <v/>
      </c>
      <c r="I72" s="28" t="str">
        <f t="shared" si="4"/>
        <v/>
      </c>
      <c r="J72" s="28" t="str">
        <f t="shared" si="5"/>
        <v/>
      </c>
      <c r="K72" s="28" t="str">
        <f t="shared" si="6"/>
        <v/>
      </c>
      <c r="L72" s="28" t="str">
        <f t="shared" si="7"/>
        <v/>
      </c>
      <c r="M72" s="28" t="str">
        <f t="shared" si="8"/>
        <v/>
      </c>
    </row>
    <row r="73" spans="2:13" x14ac:dyDescent="0.25">
      <c r="B73" s="5" t="str">
        <f t="shared" si="2"/>
        <v/>
      </c>
      <c r="C73" s="29">
        <f t="shared" si="9"/>
        <v>0</v>
      </c>
      <c r="D73" s="29" t="str">
        <f>IF(ISNUMBER(B73),pd($C$7,C73,$E$9,$C$9),"")</f>
        <v/>
      </c>
      <c r="E73" s="29" t="str">
        <f>IF(ISNUMBER($B73),pd($C$7,$C73,$E$10,$C$10),"")</f>
        <v/>
      </c>
      <c r="F73" s="29" t="str">
        <f>IF(ISNUMBER($B73),pd($C$7,$C73,$E$11,$C$11),"")</f>
        <v/>
      </c>
      <c r="G73" s="29" t="str">
        <f>IF(ISNUMBER($B73),pd($C$7,$C73,$E$12,$C$12),"")</f>
        <v/>
      </c>
      <c r="H73" s="29" t="str">
        <f>IF(ISNUMBER($B73),pd($C$7,$C73,$E$13,$C$13),"")</f>
        <v/>
      </c>
      <c r="I73" s="29" t="str">
        <f t="shared" si="4"/>
        <v/>
      </c>
      <c r="J73" s="29" t="str">
        <f t="shared" si="5"/>
        <v/>
      </c>
      <c r="K73" s="29" t="str">
        <f t="shared" si="6"/>
        <v/>
      </c>
      <c r="L73" s="29" t="str">
        <f t="shared" si="7"/>
        <v/>
      </c>
      <c r="M73" s="29" t="str">
        <f t="shared" si="8"/>
        <v/>
      </c>
    </row>
    <row r="74" spans="2:13" x14ac:dyDescent="0.25">
      <c r="B74" s="4" t="str">
        <f t="shared" si="2"/>
        <v/>
      </c>
      <c r="C74" s="28">
        <f t="shared" si="9"/>
        <v>0</v>
      </c>
      <c r="D74" s="28" t="str">
        <f>IF(ISNUMBER(B74),pd($C$7,C74,$E$9,$C$9),"")</f>
        <v/>
      </c>
      <c r="E74" s="28" t="str">
        <f>IF(ISNUMBER($B74),pd($C$7,$C74,$E$10,$C$10),"")</f>
        <v/>
      </c>
      <c r="F74" s="28" t="str">
        <f>IF(ISNUMBER($B74),pd($C$7,$C74,$E$11,$C$11),"")</f>
        <v/>
      </c>
      <c r="G74" s="28" t="str">
        <f>IF(ISNUMBER($B74),pd($C$7,$C74,$E$12,$C$12),"")</f>
        <v/>
      </c>
      <c r="H74" s="28" t="str">
        <f>IF(ISNUMBER($B74),pd($C$7,$C74,$E$13,$C$13),"")</f>
        <v/>
      </c>
      <c r="I74" s="28" t="str">
        <f t="shared" si="4"/>
        <v/>
      </c>
      <c r="J74" s="28" t="str">
        <f t="shared" si="5"/>
        <v/>
      </c>
      <c r="K74" s="28" t="str">
        <f t="shared" si="6"/>
        <v/>
      </c>
      <c r="L74" s="28" t="str">
        <f t="shared" si="7"/>
        <v/>
      </c>
      <c r="M74" s="28" t="str">
        <f t="shared" si="8"/>
        <v/>
      </c>
    </row>
    <row r="75" spans="2:13" x14ac:dyDescent="0.25">
      <c r="B75" s="5" t="str">
        <f t="shared" si="2"/>
        <v/>
      </c>
      <c r="C75" s="29">
        <f t="shared" si="9"/>
        <v>0</v>
      </c>
      <c r="D75" s="29" t="str">
        <f>IF(ISNUMBER(B75),pd($C$7,C75,$E$9,$C$9),"")</f>
        <v/>
      </c>
      <c r="E75" s="29" t="str">
        <f>IF(ISNUMBER($B75),pd($C$7,$C75,$E$10,$C$10),"")</f>
        <v/>
      </c>
      <c r="F75" s="29" t="str">
        <f>IF(ISNUMBER($B75),pd($C$7,$C75,$E$11,$C$11),"")</f>
        <v/>
      </c>
      <c r="G75" s="29" t="str">
        <f>IF(ISNUMBER($B75),pd($C$7,$C75,$E$12,$C$12),"")</f>
        <v/>
      </c>
      <c r="H75" s="29" t="str">
        <f>IF(ISNUMBER($B75),pd($C$7,$C75,$E$13,$C$13),"")</f>
        <v/>
      </c>
      <c r="I75" s="29" t="str">
        <f t="shared" si="4"/>
        <v/>
      </c>
      <c r="J75" s="29" t="str">
        <f t="shared" si="5"/>
        <v/>
      </c>
      <c r="K75" s="29" t="str">
        <f t="shared" si="6"/>
        <v/>
      </c>
      <c r="L75" s="29" t="str">
        <f t="shared" si="7"/>
        <v/>
      </c>
      <c r="M75" s="29" t="str">
        <f t="shared" si="8"/>
        <v/>
      </c>
    </row>
    <row r="76" spans="2:13" x14ac:dyDescent="0.25">
      <c r="B76" s="4" t="str">
        <f t="shared" si="2"/>
        <v/>
      </c>
      <c r="C76" s="28">
        <f t="shared" si="9"/>
        <v>0</v>
      </c>
      <c r="D76" s="28" t="str">
        <f>IF(ISNUMBER(B76),pd($C$7,C76,$E$9,$C$9),"")</f>
        <v/>
      </c>
      <c r="E76" s="28" t="str">
        <f>IF(ISNUMBER($B76),pd($C$7,$C76,$E$10,$C$10),"")</f>
        <v/>
      </c>
      <c r="F76" s="28" t="str">
        <f>IF(ISNUMBER($B76),pd($C$7,$C76,$E$11,$C$11),"")</f>
        <v/>
      </c>
      <c r="G76" s="28" t="str">
        <f>IF(ISNUMBER($B76),pd($C$7,$C76,$E$12,$C$12),"")</f>
        <v/>
      </c>
      <c r="H76" s="28" t="str">
        <f>IF(ISNUMBER($B76),pd($C$7,$C76,$E$13,$C$13),"")</f>
        <v/>
      </c>
      <c r="I76" s="28" t="str">
        <f t="shared" si="4"/>
        <v/>
      </c>
      <c r="J76" s="28" t="str">
        <f t="shared" si="5"/>
        <v/>
      </c>
      <c r="K76" s="28" t="str">
        <f t="shared" si="6"/>
        <v/>
      </c>
      <c r="L76" s="28" t="str">
        <f t="shared" si="7"/>
        <v/>
      </c>
      <c r="M76" s="28" t="str">
        <f t="shared" si="8"/>
        <v/>
      </c>
    </row>
    <row r="77" spans="2:13" x14ac:dyDescent="0.25">
      <c r="B77" s="5" t="str">
        <f t="shared" si="2"/>
        <v/>
      </c>
      <c r="C77" s="29">
        <f t="shared" si="9"/>
        <v>0</v>
      </c>
      <c r="D77" s="29" t="str">
        <f>IF(ISNUMBER(B77),pd($C$7,C77,$E$9,$C$9),"")</f>
        <v/>
      </c>
      <c r="E77" s="29" t="str">
        <f>IF(ISNUMBER($B77),pd($C$7,$C77,$E$10,$C$10),"")</f>
        <v/>
      </c>
      <c r="F77" s="29" t="str">
        <f>IF(ISNUMBER($B77),pd($C$7,$C77,$E$11,$C$11),"")</f>
        <v/>
      </c>
      <c r="G77" s="29" t="str">
        <f>IF(ISNUMBER($B77),pd($C$7,$C77,$E$12,$C$12),"")</f>
        <v/>
      </c>
      <c r="H77" s="29" t="str">
        <f>IF(ISNUMBER($B77),pd($C$7,$C77,$E$13,$C$13),"")</f>
        <v/>
      </c>
      <c r="I77" s="29" t="str">
        <f t="shared" si="4"/>
        <v/>
      </c>
      <c r="J77" s="29" t="str">
        <f t="shared" si="5"/>
        <v/>
      </c>
      <c r="K77" s="29" t="str">
        <f t="shared" si="6"/>
        <v/>
      </c>
      <c r="L77" s="29" t="str">
        <f t="shared" si="7"/>
        <v/>
      </c>
      <c r="M77" s="29" t="str">
        <f t="shared" si="8"/>
        <v/>
      </c>
    </row>
    <row r="78" spans="2:13" x14ac:dyDescent="0.25">
      <c r="B78" s="4" t="str">
        <f t="shared" si="2"/>
        <v/>
      </c>
      <c r="C78" s="28">
        <f t="shared" si="9"/>
        <v>0</v>
      </c>
      <c r="D78" s="28" t="str">
        <f>IF(ISNUMBER(B78),pd($C$7,C78,$E$9,$C$9),"")</f>
        <v/>
      </c>
      <c r="E78" s="28" t="str">
        <f>IF(ISNUMBER($B78),pd($C$7,$C78,$E$10,$C$10),"")</f>
        <v/>
      </c>
      <c r="F78" s="28" t="str">
        <f>IF(ISNUMBER($B78),pd($C$7,$C78,$E$11,$C$11),"")</f>
        <v/>
      </c>
      <c r="G78" s="28" t="str">
        <f>IF(ISNUMBER($B78),pd($C$7,$C78,$E$12,$C$12),"")</f>
        <v/>
      </c>
      <c r="H78" s="28" t="str">
        <f>IF(ISNUMBER($B78),pd($C$7,$C78,$E$13,$C$13),"")</f>
        <v/>
      </c>
      <c r="I78" s="28" t="str">
        <f t="shared" si="4"/>
        <v/>
      </c>
      <c r="J78" s="28" t="str">
        <f t="shared" si="5"/>
        <v/>
      </c>
      <c r="K78" s="28" t="str">
        <f t="shared" si="6"/>
        <v/>
      </c>
      <c r="L78" s="28" t="str">
        <f t="shared" si="7"/>
        <v/>
      </c>
      <c r="M78" s="28" t="str">
        <f t="shared" si="8"/>
        <v/>
      </c>
    </row>
    <row r="79" spans="2:13" x14ac:dyDescent="0.25">
      <c r="B79" s="5" t="str">
        <f t="shared" si="2"/>
        <v/>
      </c>
      <c r="C79" s="29">
        <f t="shared" si="9"/>
        <v>0</v>
      </c>
      <c r="D79" s="29" t="str">
        <f>IF(ISNUMBER(B79),pd($C$7,C79,$E$9,$C$9),"")</f>
        <v/>
      </c>
      <c r="E79" s="29" t="str">
        <f>IF(ISNUMBER($B79),pd($C$7,$C79,$E$10,$C$10),"")</f>
        <v/>
      </c>
      <c r="F79" s="29" t="str">
        <f>IF(ISNUMBER($B79),pd($C$7,$C79,$E$11,$C$11),"")</f>
        <v/>
      </c>
      <c r="G79" s="29" t="str">
        <f>IF(ISNUMBER($B79),pd($C$7,$C79,$E$12,$C$12),"")</f>
        <v/>
      </c>
      <c r="H79" s="29" t="str">
        <f>IF(ISNUMBER($B79),pd($C$7,$C79,$E$13,$C$13),"")</f>
        <v/>
      </c>
      <c r="I79" s="29" t="str">
        <f t="shared" si="4"/>
        <v/>
      </c>
      <c r="J79" s="29" t="str">
        <f t="shared" si="5"/>
        <v/>
      </c>
      <c r="K79" s="29" t="str">
        <f t="shared" si="6"/>
        <v/>
      </c>
      <c r="L79" s="29" t="str">
        <f t="shared" si="7"/>
        <v/>
      </c>
      <c r="M79" s="29" t="str">
        <f t="shared" si="8"/>
        <v/>
      </c>
    </row>
    <row r="80" spans="2:13" x14ac:dyDescent="0.25">
      <c r="B80" s="4" t="str">
        <f t="shared" si="2"/>
        <v/>
      </c>
      <c r="C80" s="28">
        <f t="shared" si="9"/>
        <v>0</v>
      </c>
      <c r="D80" s="28" t="str">
        <f>IF(ISNUMBER(B80),pd($C$7,C80,$E$9,$C$9),"")</f>
        <v/>
      </c>
      <c r="E80" s="28" t="str">
        <f>IF(ISNUMBER($B80),pd($C$7,$C80,$E$10,$C$10),"")</f>
        <v/>
      </c>
      <c r="F80" s="28" t="str">
        <f>IF(ISNUMBER($B80),pd($C$7,$C80,$E$11,$C$11),"")</f>
        <v/>
      </c>
      <c r="G80" s="28" t="str">
        <f>IF(ISNUMBER($B80),pd($C$7,$C80,$E$12,$C$12),"")</f>
        <v/>
      </c>
      <c r="H80" s="28" t="str">
        <f>IF(ISNUMBER($B80),pd($C$7,$C80,$E$13,$C$13),"")</f>
        <v/>
      </c>
      <c r="I80" s="28" t="str">
        <f t="shared" si="4"/>
        <v/>
      </c>
      <c r="J80" s="28" t="str">
        <f t="shared" si="5"/>
        <v/>
      </c>
      <c r="K80" s="28" t="str">
        <f t="shared" si="6"/>
        <v/>
      </c>
      <c r="L80" s="28" t="str">
        <f t="shared" si="7"/>
        <v/>
      </c>
      <c r="M80" s="28" t="str">
        <f t="shared" si="8"/>
        <v/>
      </c>
    </row>
    <row r="81" spans="2:13" x14ac:dyDescent="0.25">
      <c r="B81" s="5" t="str">
        <f t="shared" si="2"/>
        <v/>
      </c>
      <c r="C81" s="29">
        <f t="shared" si="9"/>
        <v>0</v>
      </c>
      <c r="D81" s="29" t="str">
        <f>IF(ISNUMBER(B81),pd($C$7,C81,$E$9,$C$9),"")</f>
        <v/>
      </c>
      <c r="E81" s="29" t="str">
        <f>IF(ISNUMBER($B81),pd($C$7,$C81,$E$10,$C$10),"")</f>
        <v/>
      </c>
      <c r="F81" s="29" t="str">
        <f>IF(ISNUMBER($B81),pd($C$7,$C81,$E$11,$C$11),"")</f>
        <v/>
      </c>
      <c r="G81" s="29" t="str">
        <f>IF(ISNUMBER($B81),pd($C$7,$C81,$E$12,$C$12),"")</f>
        <v/>
      </c>
      <c r="H81" s="29" t="str">
        <f>IF(ISNUMBER($B81),pd($C$7,$C81,$E$13,$C$13),"")</f>
        <v/>
      </c>
      <c r="I81" s="29" t="str">
        <f t="shared" si="4"/>
        <v/>
      </c>
      <c r="J81" s="29" t="str">
        <f t="shared" si="5"/>
        <v/>
      </c>
      <c r="K81" s="29" t="str">
        <f t="shared" si="6"/>
        <v/>
      </c>
      <c r="L81" s="29" t="str">
        <f t="shared" si="7"/>
        <v/>
      </c>
      <c r="M81" s="29" t="str">
        <f t="shared" si="8"/>
        <v/>
      </c>
    </row>
    <row r="82" spans="2:13" x14ac:dyDescent="0.25">
      <c r="B82" s="4" t="str">
        <f t="shared" si="2"/>
        <v/>
      </c>
      <c r="C82" s="28">
        <f t="shared" si="9"/>
        <v>0</v>
      </c>
      <c r="D82" s="28" t="str">
        <f>IF(ISNUMBER(B82),pd($C$7,C82,$E$9,$C$9),"")</f>
        <v/>
      </c>
      <c r="E82" s="28" t="str">
        <f>IF(ISNUMBER($B82),pd($C$7,$C82,$E$10,$C$10),"")</f>
        <v/>
      </c>
      <c r="F82" s="28" t="str">
        <f>IF(ISNUMBER($B82),pd($C$7,$C82,$E$11,$C$11),"")</f>
        <v/>
      </c>
      <c r="G82" s="28" t="str">
        <f>IF(ISNUMBER($B82),pd($C$7,$C82,$E$12,$C$12),"")</f>
        <v/>
      </c>
      <c r="H82" s="28" t="str">
        <f>IF(ISNUMBER($B82),pd($C$7,$C82,$E$13,$C$13),"")</f>
        <v/>
      </c>
      <c r="I82" s="28" t="str">
        <f t="shared" si="4"/>
        <v/>
      </c>
      <c r="J82" s="28" t="str">
        <f t="shared" si="5"/>
        <v/>
      </c>
      <c r="K82" s="28" t="str">
        <f t="shared" si="6"/>
        <v/>
      </c>
      <c r="L82" s="28" t="str">
        <f t="shared" si="7"/>
        <v/>
      </c>
      <c r="M82" s="28" t="str">
        <f t="shared" si="8"/>
        <v/>
      </c>
    </row>
    <row r="83" spans="2:13" x14ac:dyDescent="0.25">
      <c r="B83" s="5" t="str">
        <f t="shared" si="2"/>
        <v/>
      </c>
      <c r="C83" s="29">
        <f t="shared" si="9"/>
        <v>0</v>
      </c>
      <c r="D83" s="29" t="str">
        <f>IF(ISNUMBER(B83),pd($C$7,C83,$E$9,$C$9),"")</f>
        <v/>
      </c>
      <c r="E83" s="29" t="str">
        <f>IF(ISNUMBER($B83),pd($C$7,$C83,$E$10,$C$10),"")</f>
        <v/>
      </c>
      <c r="F83" s="29" t="str">
        <f>IF(ISNUMBER($B83),pd($C$7,$C83,$E$11,$C$11),"")</f>
        <v/>
      </c>
      <c r="G83" s="29" t="str">
        <f>IF(ISNUMBER($B83),pd($C$7,$C83,$E$12,$C$12),"")</f>
        <v/>
      </c>
      <c r="H83" s="29" t="str">
        <f>IF(ISNUMBER($B83),pd($C$7,$C83,$E$13,$C$13),"")</f>
        <v/>
      </c>
      <c r="I83" s="29" t="str">
        <f t="shared" si="4"/>
        <v/>
      </c>
      <c r="J83" s="29" t="str">
        <f t="shared" si="5"/>
        <v/>
      </c>
      <c r="K83" s="29" t="str">
        <f t="shared" si="6"/>
        <v/>
      </c>
      <c r="L83" s="29" t="str">
        <f t="shared" si="7"/>
        <v/>
      </c>
      <c r="M83" s="29" t="str">
        <f t="shared" si="8"/>
        <v/>
      </c>
    </row>
    <row r="84" spans="2:13" x14ac:dyDescent="0.25">
      <c r="B84" s="4" t="str">
        <f t="shared" si="2"/>
        <v/>
      </c>
      <c r="C84" s="28">
        <f t="shared" si="9"/>
        <v>0</v>
      </c>
      <c r="D84" s="28" t="str">
        <f>IF(ISNUMBER(B84),pd($C$7,C84,$E$9,$C$9),"")</f>
        <v/>
      </c>
      <c r="E84" s="28" t="str">
        <f>IF(ISNUMBER($B84),pd($C$7,$C84,$E$10,$C$10),"")</f>
        <v/>
      </c>
      <c r="F84" s="28" t="str">
        <f>IF(ISNUMBER($B84),pd($C$7,$C84,$E$11,$C$11),"")</f>
        <v/>
      </c>
      <c r="G84" s="28" t="str">
        <f>IF(ISNUMBER($B84),pd($C$7,$C84,$E$12,$C$12),"")</f>
        <v/>
      </c>
      <c r="H84" s="28" t="str">
        <f>IF(ISNUMBER($B84),pd($C$7,$C84,$E$13,$C$13),"")</f>
        <v/>
      </c>
      <c r="I84" s="28" t="str">
        <f t="shared" si="4"/>
        <v/>
      </c>
      <c r="J84" s="28" t="str">
        <f t="shared" si="5"/>
        <v/>
      </c>
      <c r="K84" s="28" t="str">
        <f t="shared" si="6"/>
        <v/>
      </c>
      <c r="L84" s="28" t="str">
        <f t="shared" si="7"/>
        <v/>
      </c>
      <c r="M84" s="28" t="str">
        <f t="shared" si="8"/>
        <v/>
      </c>
    </row>
    <row r="85" spans="2:13" x14ac:dyDescent="0.25">
      <c r="B85" s="5" t="str">
        <f t="shared" si="2"/>
        <v/>
      </c>
      <c r="C85" s="29">
        <f t="shared" si="9"/>
        <v>0</v>
      </c>
      <c r="D85" s="29" t="str">
        <f>IF(ISNUMBER(B85),pd($C$7,C85,$E$9,$C$9),"")</f>
        <v/>
      </c>
      <c r="E85" s="29" t="str">
        <f>IF(ISNUMBER($B85),pd($C$7,$C85,$E$10,$C$10),"")</f>
        <v/>
      </c>
      <c r="F85" s="29" t="str">
        <f>IF(ISNUMBER($B85),pd($C$7,$C85,$E$11,$C$11),"")</f>
        <v/>
      </c>
      <c r="G85" s="29" t="str">
        <f>IF(ISNUMBER($B85),pd($C$7,$C85,$E$12,$C$12),"")</f>
        <v/>
      </c>
      <c r="H85" s="29" t="str">
        <f>IF(ISNUMBER($B85),pd($C$7,$C85,$E$13,$C$13),"")</f>
        <v/>
      </c>
      <c r="I85" s="29" t="str">
        <f t="shared" si="4"/>
        <v/>
      </c>
      <c r="J85" s="29" t="str">
        <f t="shared" si="5"/>
        <v/>
      </c>
      <c r="K85" s="29" t="str">
        <f t="shared" si="6"/>
        <v/>
      </c>
      <c r="L85" s="29" t="str">
        <f t="shared" si="7"/>
        <v/>
      </c>
      <c r="M85" s="29" t="str">
        <f t="shared" si="8"/>
        <v/>
      </c>
    </row>
    <row r="86" spans="2:13" x14ac:dyDescent="0.25">
      <c r="B86" s="4" t="str">
        <f t="shared" si="2"/>
        <v/>
      </c>
      <c r="C86" s="28">
        <f t="shared" si="9"/>
        <v>0</v>
      </c>
      <c r="D86" s="28" t="str">
        <f>IF(ISNUMBER(B86),pd($C$7,C86,$E$9,$C$9),"")</f>
        <v/>
      </c>
      <c r="E86" s="28" t="str">
        <f>IF(ISNUMBER($B86),pd($C$7,$C86,$E$10,$C$10),"")</f>
        <v/>
      </c>
      <c r="F86" s="28" t="str">
        <f>IF(ISNUMBER($B86),pd($C$7,$C86,$E$11,$C$11),"")</f>
        <v/>
      </c>
      <c r="G86" s="28" t="str">
        <f>IF(ISNUMBER($B86),pd($C$7,$C86,$E$12,$C$12),"")</f>
        <v/>
      </c>
      <c r="H86" s="28" t="str">
        <f>IF(ISNUMBER($B86),pd($C$7,$C86,$E$13,$C$13),"")</f>
        <v/>
      </c>
      <c r="I86" s="28" t="str">
        <f t="shared" si="4"/>
        <v/>
      </c>
      <c r="J86" s="28" t="str">
        <f t="shared" si="5"/>
        <v/>
      </c>
      <c r="K86" s="28" t="str">
        <f t="shared" si="6"/>
        <v/>
      </c>
      <c r="L86" s="28" t="str">
        <f t="shared" si="7"/>
        <v/>
      </c>
      <c r="M86" s="28" t="str">
        <f t="shared" si="8"/>
        <v/>
      </c>
    </row>
    <row r="87" spans="2:13" x14ac:dyDescent="0.25">
      <c r="B87" s="5" t="str">
        <f t="shared" ref="B87:B121" si="10">IF(ROW(B87)-22&lt;$C$16,ROW(B87)-21,"")</f>
        <v/>
      </c>
      <c r="C87" s="29">
        <f t="shared" ref="C87:C118" si="11">IF(ISNUMBER(B87),C86*10^(($C$6-$C$5)/($C$16-1)),0)</f>
        <v>0</v>
      </c>
      <c r="D87" s="29" t="str">
        <f>IF(ISNUMBER(B87),pd($C$7,C87,$E$9,$C$9),"")</f>
        <v/>
      </c>
      <c r="E87" s="29" t="str">
        <f>IF(ISNUMBER($B87),pd($C$7,$C87,$E$10,$C$10),"")</f>
        <v/>
      </c>
      <c r="F87" s="29" t="str">
        <f>IF(ISNUMBER($B87),pd($C$7,$C87,$E$11,$C$11),"")</f>
        <v/>
      </c>
      <c r="G87" s="29" t="str">
        <f>IF(ISNUMBER($B87),pd($C$7,$C87,$E$12,$C$12),"")</f>
        <v/>
      </c>
      <c r="H87" s="29" t="str">
        <f>IF(ISNUMBER($B87),pd($C$7,$C87,$E$13,$C$13),"")</f>
        <v/>
      </c>
      <c r="I87" s="29" t="str">
        <f t="shared" ref="I87:I121" si="12">IFERROR($C87*(D88-D87)/($C88-$C87),"")</f>
        <v/>
      </c>
      <c r="J87" s="29" t="str">
        <f t="shared" ref="J87:J121" si="13">IFERROR($C87*(E88-E87)/($C88-$C87),"")</f>
        <v/>
      </c>
      <c r="K87" s="29" t="str">
        <f t="shared" ref="K87:K121" si="14">IFERROR($C87*(F88-F87)/($C88-$C87),"")</f>
        <v/>
      </c>
      <c r="L87" s="29" t="str">
        <f t="shared" ref="L87:L121" si="15">IFERROR($C87*(G88-G87)/($C88-$C87),"")</f>
        <v/>
      </c>
      <c r="M87" s="29" t="str">
        <f t="shared" ref="M87:M121" si="16">IFERROR($C87*(H88-H87)/($C88-$C87),"")</f>
        <v/>
      </c>
    </row>
    <row r="88" spans="2:13" x14ac:dyDescent="0.25">
      <c r="B88" s="4" t="str">
        <f t="shared" si="10"/>
        <v/>
      </c>
      <c r="C88" s="28">
        <f t="shared" si="11"/>
        <v>0</v>
      </c>
      <c r="D88" s="28" t="str">
        <f>IF(ISNUMBER(B88),pd($C$7,C88,$E$9,$C$9),"")</f>
        <v/>
      </c>
      <c r="E88" s="28" t="str">
        <f>IF(ISNUMBER($B88),pd($C$7,$C88,$E$10,$C$10),"")</f>
        <v/>
      </c>
      <c r="F88" s="28" t="str">
        <f>IF(ISNUMBER($B88),pd($C$7,$C88,$E$11,$C$11),"")</f>
        <v/>
      </c>
      <c r="G88" s="28" t="str">
        <f>IF(ISNUMBER($B88),pd($C$7,$C88,$E$12,$C$12),"")</f>
        <v/>
      </c>
      <c r="H88" s="28" t="str">
        <f>IF(ISNUMBER($B88),pd($C$7,$C88,$E$13,$C$13),"")</f>
        <v/>
      </c>
      <c r="I88" s="28" t="str">
        <f t="shared" si="12"/>
        <v/>
      </c>
      <c r="J88" s="28" t="str">
        <f t="shared" si="13"/>
        <v/>
      </c>
      <c r="K88" s="28" t="str">
        <f t="shared" si="14"/>
        <v/>
      </c>
      <c r="L88" s="28" t="str">
        <f t="shared" si="15"/>
        <v/>
      </c>
      <c r="M88" s="28" t="str">
        <f t="shared" si="16"/>
        <v/>
      </c>
    </row>
    <row r="89" spans="2:13" x14ac:dyDescent="0.25">
      <c r="B89" s="5" t="str">
        <f t="shared" si="10"/>
        <v/>
      </c>
      <c r="C89" s="29">
        <f t="shared" si="11"/>
        <v>0</v>
      </c>
      <c r="D89" s="29" t="str">
        <f>IF(ISNUMBER(B89),pd($C$7,C89,$E$9,$C$9),"")</f>
        <v/>
      </c>
      <c r="E89" s="29" t="str">
        <f>IF(ISNUMBER($B89),pd($C$7,$C89,$E$10,$C$10),"")</f>
        <v/>
      </c>
      <c r="F89" s="29" t="str">
        <f>IF(ISNUMBER($B89),pd($C$7,$C89,$E$11,$C$11),"")</f>
        <v/>
      </c>
      <c r="G89" s="29" t="str">
        <f>IF(ISNUMBER($B89),pd($C$7,$C89,$E$12,$C$12),"")</f>
        <v/>
      </c>
      <c r="H89" s="29" t="str">
        <f>IF(ISNUMBER($B89),pd($C$7,$C89,$E$13,$C$13),"")</f>
        <v/>
      </c>
      <c r="I89" s="29" t="str">
        <f t="shared" si="12"/>
        <v/>
      </c>
      <c r="J89" s="29" t="str">
        <f t="shared" si="13"/>
        <v/>
      </c>
      <c r="K89" s="29" t="str">
        <f t="shared" si="14"/>
        <v/>
      </c>
      <c r="L89" s="29" t="str">
        <f t="shared" si="15"/>
        <v/>
      </c>
      <c r="M89" s="29" t="str">
        <f t="shared" si="16"/>
        <v/>
      </c>
    </row>
    <row r="90" spans="2:13" x14ac:dyDescent="0.25">
      <c r="B90" s="4" t="str">
        <f t="shared" si="10"/>
        <v/>
      </c>
      <c r="C90" s="28">
        <f t="shared" si="11"/>
        <v>0</v>
      </c>
      <c r="D90" s="28" t="str">
        <f>IF(ISNUMBER(B90),pd($C$7,C90,$E$9,$C$9),"")</f>
        <v/>
      </c>
      <c r="E90" s="28" t="str">
        <f>IF(ISNUMBER($B90),pd($C$7,$C90,$E$10,$C$10),"")</f>
        <v/>
      </c>
      <c r="F90" s="28" t="str">
        <f>IF(ISNUMBER($B90),pd($C$7,$C90,$E$11,$C$11),"")</f>
        <v/>
      </c>
      <c r="G90" s="28" t="str">
        <f>IF(ISNUMBER($B90),pd($C$7,$C90,$E$12,$C$12),"")</f>
        <v/>
      </c>
      <c r="H90" s="28" t="str">
        <f>IF(ISNUMBER($B90),pd($C$7,$C90,$E$13,$C$13),"")</f>
        <v/>
      </c>
      <c r="I90" s="28" t="str">
        <f t="shared" si="12"/>
        <v/>
      </c>
      <c r="J90" s="28" t="str">
        <f t="shared" si="13"/>
        <v/>
      </c>
      <c r="K90" s="28" t="str">
        <f t="shared" si="14"/>
        <v/>
      </c>
      <c r="L90" s="28" t="str">
        <f t="shared" si="15"/>
        <v/>
      </c>
      <c r="M90" s="28" t="str">
        <f t="shared" si="16"/>
        <v/>
      </c>
    </row>
    <row r="91" spans="2:13" x14ac:dyDescent="0.25">
      <c r="B91" s="5" t="str">
        <f t="shared" si="10"/>
        <v/>
      </c>
      <c r="C91" s="29">
        <f t="shared" si="11"/>
        <v>0</v>
      </c>
      <c r="D91" s="29" t="str">
        <f>IF(ISNUMBER(B91),pd($C$7,C91,$E$9,$C$9),"")</f>
        <v/>
      </c>
      <c r="E91" s="29" t="str">
        <f>IF(ISNUMBER($B91),pd($C$7,$C91,$E$10,$C$10),"")</f>
        <v/>
      </c>
      <c r="F91" s="29" t="str">
        <f>IF(ISNUMBER($B91),pd($C$7,$C91,$E$11,$C$11),"")</f>
        <v/>
      </c>
      <c r="G91" s="29" t="str">
        <f>IF(ISNUMBER($B91),pd($C$7,$C91,$E$12,$C$12),"")</f>
        <v/>
      </c>
      <c r="H91" s="29" t="str">
        <f>IF(ISNUMBER($B91),pd($C$7,$C91,$E$13,$C$13),"")</f>
        <v/>
      </c>
      <c r="I91" s="29" t="str">
        <f t="shared" si="12"/>
        <v/>
      </c>
      <c r="J91" s="29" t="str">
        <f t="shared" si="13"/>
        <v/>
      </c>
      <c r="K91" s="29" t="str">
        <f t="shared" si="14"/>
        <v/>
      </c>
      <c r="L91" s="29" t="str">
        <f t="shared" si="15"/>
        <v/>
      </c>
      <c r="M91" s="29" t="str">
        <f t="shared" si="16"/>
        <v/>
      </c>
    </row>
    <row r="92" spans="2:13" x14ac:dyDescent="0.25">
      <c r="B92" s="4" t="str">
        <f t="shared" si="10"/>
        <v/>
      </c>
      <c r="C92" s="28">
        <f t="shared" si="11"/>
        <v>0</v>
      </c>
      <c r="D92" s="28" t="str">
        <f>IF(ISNUMBER(B92),pd($C$7,C92,$E$9,$C$9),"")</f>
        <v/>
      </c>
      <c r="E92" s="28" t="str">
        <f>IF(ISNUMBER($B92),pd($C$7,$C92,$E$10,$C$10),"")</f>
        <v/>
      </c>
      <c r="F92" s="28" t="str">
        <f>IF(ISNUMBER($B92),pd($C$7,$C92,$E$11,$C$11),"")</f>
        <v/>
      </c>
      <c r="G92" s="28" t="str">
        <f>IF(ISNUMBER($B92),pd($C$7,$C92,$E$12,$C$12),"")</f>
        <v/>
      </c>
      <c r="H92" s="28" t="str">
        <f>IF(ISNUMBER($B92),pd($C$7,$C92,$E$13,$C$13),"")</f>
        <v/>
      </c>
      <c r="I92" s="28" t="str">
        <f t="shared" si="12"/>
        <v/>
      </c>
      <c r="J92" s="28" t="str">
        <f t="shared" si="13"/>
        <v/>
      </c>
      <c r="K92" s="28" t="str">
        <f t="shared" si="14"/>
        <v/>
      </c>
      <c r="L92" s="28" t="str">
        <f t="shared" si="15"/>
        <v/>
      </c>
      <c r="M92" s="28" t="str">
        <f t="shared" si="16"/>
        <v/>
      </c>
    </row>
    <row r="93" spans="2:13" x14ac:dyDescent="0.25">
      <c r="B93" s="5" t="str">
        <f t="shared" si="10"/>
        <v/>
      </c>
      <c r="C93" s="29">
        <f t="shared" si="11"/>
        <v>0</v>
      </c>
      <c r="D93" s="29" t="str">
        <f>IF(ISNUMBER(B93),pd($C$7,C93,$E$9,$C$9),"")</f>
        <v/>
      </c>
      <c r="E93" s="29" t="str">
        <f>IF(ISNUMBER($B93),pd($C$7,$C93,$E$10,$C$10),"")</f>
        <v/>
      </c>
      <c r="F93" s="29" t="str">
        <f>IF(ISNUMBER($B93),pd($C$7,$C93,$E$11,$C$11),"")</f>
        <v/>
      </c>
      <c r="G93" s="29" t="str">
        <f>IF(ISNUMBER($B93),pd($C$7,$C93,$E$12,$C$12),"")</f>
        <v/>
      </c>
      <c r="H93" s="29" t="str">
        <f>IF(ISNUMBER($B93),pd($C$7,$C93,$E$13,$C$13),"")</f>
        <v/>
      </c>
      <c r="I93" s="29" t="str">
        <f t="shared" si="12"/>
        <v/>
      </c>
      <c r="J93" s="29" t="str">
        <f t="shared" si="13"/>
        <v/>
      </c>
      <c r="K93" s="29" t="str">
        <f t="shared" si="14"/>
        <v/>
      </c>
      <c r="L93" s="29" t="str">
        <f t="shared" si="15"/>
        <v/>
      </c>
      <c r="M93" s="29" t="str">
        <f t="shared" si="16"/>
        <v/>
      </c>
    </row>
    <row r="94" spans="2:13" x14ac:dyDescent="0.25">
      <c r="B94" s="4" t="str">
        <f t="shared" si="10"/>
        <v/>
      </c>
      <c r="C94" s="28">
        <f t="shared" si="11"/>
        <v>0</v>
      </c>
      <c r="D94" s="28" t="str">
        <f>IF(ISNUMBER(B94),pd($C$7,C94,$E$9,$C$9),"")</f>
        <v/>
      </c>
      <c r="E94" s="28" t="str">
        <f>IF(ISNUMBER($B94),pd($C$7,$C94,$E$10,$C$10),"")</f>
        <v/>
      </c>
      <c r="F94" s="28" t="str">
        <f>IF(ISNUMBER($B94),pd($C$7,$C94,$E$11,$C$11),"")</f>
        <v/>
      </c>
      <c r="G94" s="28" t="str">
        <f>IF(ISNUMBER($B94),pd($C$7,$C94,$E$12,$C$12),"")</f>
        <v/>
      </c>
      <c r="H94" s="28" t="str">
        <f>IF(ISNUMBER($B94),pd($C$7,$C94,$E$13,$C$13),"")</f>
        <v/>
      </c>
      <c r="I94" s="28" t="str">
        <f t="shared" si="12"/>
        <v/>
      </c>
      <c r="J94" s="28" t="str">
        <f t="shared" si="13"/>
        <v/>
      </c>
      <c r="K94" s="28" t="str">
        <f t="shared" si="14"/>
        <v/>
      </c>
      <c r="L94" s="28" t="str">
        <f t="shared" si="15"/>
        <v/>
      </c>
      <c r="M94" s="28" t="str">
        <f t="shared" si="16"/>
        <v/>
      </c>
    </row>
    <row r="95" spans="2:13" x14ac:dyDescent="0.25">
      <c r="B95" s="5" t="str">
        <f t="shared" si="10"/>
        <v/>
      </c>
      <c r="C95" s="29">
        <f t="shared" si="11"/>
        <v>0</v>
      </c>
      <c r="D95" s="29" t="str">
        <f>IF(ISNUMBER(B95),pd($C$7,C95,$E$9,$C$9),"")</f>
        <v/>
      </c>
      <c r="E95" s="29" t="str">
        <f>IF(ISNUMBER($B95),pd($C$7,$C95,$E$10,$C$10),"")</f>
        <v/>
      </c>
      <c r="F95" s="29" t="str">
        <f>IF(ISNUMBER($B95),pd($C$7,$C95,$E$11,$C$11),"")</f>
        <v/>
      </c>
      <c r="G95" s="29" t="str">
        <f>IF(ISNUMBER($B95),pd($C$7,$C95,$E$12,$C$12),"")</f>
        <v/>
      </c>
      <c r="H95" s="29" t="str">
        <f>IF(ISNUMBER($B95),pd($C$7,$C95,$E$13,$C$13),"")</f>
        <v/>
      </c>
      <c r="I95" s="29" t="str">
        <f t="shared" si="12"/>
        <v/>
      </c>
      <c r="J95" s="29" t="str">
        <f t="shared" si="13"/>
        <v/>
      </c>
      <c r="K95" s="29" t="str">
        <f t="shared" si="14"/>
        <v/>
      </c>
      <c r="L95" s="29" t="str">
        <f t="shared" si="15"/>
        <v/>
      </c>
      <c r="M95" s="29" t="str">
        <f t="shared" si="16"/>
        <v/>
      </c>
    </row>
    <row r="96" spans="2:13" x14ac:dyDescent="0.25">
      <c r="B96" s="4" t="str">
        <f t="shared" si="10"/>
        <v/>
      </c>
      <c r="C96" s="28">
        <f t="shared" si="11"/>
        <v>0</v>
      </c>
      <c r="D96" s="28" t="str">
        <f>IF(ISNUMBER(B96),pd($C$7,C96,$E$9,$C$9),"")</f>
        <v/>
      </c>
      <c r="E96" s="28" t="str">
        <f>IF(ISNUMBER($B96),pd($C$7,$C96,$E$10,$C$10),"")</f>
        <v/>
      </c>
      <c r="F96" s="28" t="str">
        <f>IF(ISNUMBER($B96),pd($C$7,$C96,$E$11,$C$11),"")</f>
        <v/>
      </c>
      <c r="G96" s="28" t="str">
        <f>IF(ISNUMBER($B96),pd($C$7,$C96,$E$12,$C$12),"")</f>
        <v/>
      </c>
      <c r="H96" s="28" t="str">
        <f>IF(ISNUMBER($B96),pd($C$7,$C96,$E$13,$C$13),"")</f>
        <v/>
      </c>
      <c r="I96" s="28" t="str">
        <f t="shared" si="12"/>
        <v/>
      </c>
      <c r="J96" s="28" t="str">
        <f t="shared" si="13"/>
        <v/>
      </c>
      <c r="K96" s="28" t="str">
        <f t="shared" si="14"/>
        <v/>
      </c>
      <c r="L96" s="28" t="str">
        <f t="shared" si="15"/>
        <v/>
      </c>
      <c r="M96" s="28" t="str">
        <f t="shared" si="16"/>
        <v/>
      </c>
    </row>
    <row r="97" spans="2:13" x14ac:dyDescent="0.25">
      <c r="B97" s="5" t="str">
        <f t="shared" si="10"/>
        <v/>
      </c>
      <c r="C97" s="29">
        <f t="shared" si="11"/>
        <v>0</v>
      </c>
      <c r="D97" s="29" t="str">
        <f>IF(ISNUMBER(B97),pd($C$7,C97,$E$9,$C$9),"")</f>
        <v/>
      </c>
      <c r="E97" s="29" t="str">
        <f>IF(ISNUMBER($B97),pd($C$7,$C97,$E$10,$C$10),"")</f>
        <v/>
      </c>
      <c r="F97" s="29" t="str">
        <f>IF(ISNUMBER($B97),pd($C$7,$C97,$E$11,$C$11),"")</f>
        <v/>
      </c>
      <c r="G97" s="29" t="str">
        <f>IF(ISNUMBER($B97),pd($C$7,$C97,$E$12,$C$12),"")</f>
        <v/>
      </c>
      <c r="H97" s="29" t="str">
        <f>IF(ISNUMBER($B97),pd($C$7,$C97,$E$13,$C$13),"")</f>
        <v/>
      </c>
      <c r="I97" s="29" t="str">
        <f t="shared" si="12"/>
        <v/>
      </c>
      <c r="J97" s="29" t="str">
        <f t="shared" si="13"/>
        <v/>
      </c>
      <c r="K97" s="29" t="str">
        <f t="shared" si="14"/>
        <v/>
      </c>
      <c r="L97" s="29" t="str">
        <f t="shared" si="15"/>
        <v/>
      </c>
      <c r="M97" s="29" t="str">
        <f t="shared" si="16"/>
        <v/>
      </c>
    </row>
    <row r="98" spans="2:13" x14ac:dyDescent="0.25">
      <c r="B98" s="4" t="str">
        <f t="shared" si="10"/>
        <v/>
      </c>
      <c r="C98" s="28">
        <f t="shared" si="11"/>
        <v>0</v>
      </c>
      <c r="D98" s="28" t="str">
        <f>IF(ISNUMBER(B98),pd($C$7,C98,$E$9,$C$9),"")</f>
        <v/>
      </c>
      <c r="E98" s="28" t="str">
        <f>IF(ISNUMBER($B98),pd($C$7,$C98,$E$10,$C$10),"")</f>
        <v/>
      </c>
      <c r="F98" s="28" t="str">
        <f>IF(ISNUMBER($B98),pd($C$7,$C98,$E$11,$C$11),"")</f>
        <v/>
      </c>
      <c r="G98" s="28" t="str">
        <f>IF(ISNUMBER($B98),pd($C$7,$C98,$E$12,$C$12),"")</f>
        <v/>
      </c>
      <c r="H98" s="28" t="str">
        <f>IF(ISNUMBER($B98),pd($C$7,$C98,$E$13,$C$13),"")</f>
        <v/>
      </c>
      <c r="I98" s="28" t="str">
        <f t="shared" si="12"/>
        <v/>
      </c>
      <c r="J98" s="28" t="str">
        <f t="shared" si="13"/>
        <v/>
      </c>
      <c r="K98" s="28" t="str">
        <f t="shared" si="14"/>
        <v/>
      </c>
      <c r="L98" s="28" t="str">
        <f t="shared" si="15"/>
        <v/>
      </c>
      <c r="M98" s="28" t="str">
        <f t="shared" si="16"/>
        <v/>
      </c>
    </row>
    <row r="99" spans="2:13" x14ac:dyDescent="0.25">
      <c r="B99" s="5" t="str">
        <f t="shared" si="10"/>
        <v/>
      </c>
      <c r="C99" s="29">
        <f t="shared" si="11"/>
        <v>0</v>
      </c>
      <c r="D99" s="29" t="str">
        <f>IF(ISNUMBER(B99),pd($C$7,C99,$E$9,$C$9),"")</f>
        <v/>
      </c>
      <c r="E99" s="29" t="str">
        <f>IF(ISNUMBER($B99),pd($C$7,$C99,$E$10,$C$10),"")</f>
        <v/>
      </c>
      <c r="F99" s="29" t="str">
        <f>IF(ISNUMBER($B99),pd($C$7,$C99,$E$11,$C$11),"")</f>
        <v/>
      </c>
      <c r="G99" s="29" t="str">
        <f>IF(ISNUMBER($B99),pd($C$7,$C99,$E$12,$C$12),"")</f>
        <v/>
      </c>
      <c r="H99" s="29" t="str">
        <f>IF(ISNUMBER($B99),pd($C$7,$C99,$E$13,$C$13),"")</f>
        <v/>
      </c>
      <c r="I99" s="29" t="str">
        <f t="shared" si="12"/>
        <v/>
      </c>
      <c r="J99" s="29" t="str">
        <f t="shared" si="13"/>
        <v/>
      </c>
      <c r="K99" s="29" t="str">
        <f t="shared" si="14"/>
        <v/>
      </c>
      <c r="L99" s="29" t="str">
        <f t="shared" si="15"/>
        <v/>
      </c>
      <c r="M99" s="29" t="str">
        <f t="shared" si="16"/>
        <v/>
      </c>
    </row>
    <row r="100" spans="2:13" x14ac:dyDescent="0.25">
      <c r="B100" s="4" t="str">
        <f t="shared" si="10"/>
        <v/>
      </c>
      <c r="C100" s="28">
        <f t="shared" si="11"/>
        <v>0</v>
      </c>
      <c r="D100" s="28" t="str">
        <f>IF(ISNUMBER(B100),pd($C$7,C100,$E$9,$C$9),"")</f>
        <v/>
      </c>
      <c r="E100" s="28" t="str">
        <f>IF(ISNUMBER($B100),pd($C$7,$C100,$E$10,$C$10),"")</f>
        <v/>
      </c>
      <c r="F100" s="28" t="str">
        <f>IF(ISNUMBER($B100),pd($C$7,$C100,$E$11,$C$11),"")</f>
        <v/>
      </c>
      <c r="G100" s="28" t="str">
        <f>IF(ISNUMBER($B100),pd($C$7,$C100,$E$12,$C$12),"")</f>
        <v/>
      </c>
      <c r="H100" s="28" t="str">
        <f>IF(ISNUMBER($B100),pd($C$7,$C100,$E$13,$C$13),"")</f>
        <v/>
      </c>
      <c r="I100" s="28" t="str">
        <f t="shared" si="12"/>
        <v/>
      </c>
      <c r="J100" s="28" t="str">
        <f t="shared" si="13"/>
        <v/>
      </c>
      <c r="K100" s="28" t="str">
        <f t="shared" si="14"/>
        <v/>
      </c>
      <c r="L100" s="28" t="str">
        <f t="shared" si="15"/>
        <v/>
      </c>
      <c r="M100" s="28" t="str">
        <f t="shared" si="16"/>
        <v/>
      </c>
    </row>
    <row r="101" spans="2:13" x14ac:dyDescent="0.25">
      <c r="B101" s="5" t="str">
        <f t="shared" si="10"/>
        <v/>
      </c>
      <c r="C101" s="29">
        <f t="shared" si="11"/>
        <v>0</v>
      </c>
      <c r="D101" s="29" t="str">
        <f>IF(ISNUMBER(B101),pd($C$7,C101,$E$9,$C$9),"")</f>
        <v/>
      </c>
      <c r="E101" s="29" t="str">
        <f>IF(ISNUMBER($B101),pd($C$7,$C101,$E$10,$C$10),"")</f>
        <v/>
      </c>
      <c r="F101" s="29" t="str">
        <f>IF(ISNUMBER($B101),pd($C$7,$C101,$E$11,$C$11),"")</f>
        <v/>
      </c>
      <c r="G101" s="29" t="str">
        <f>IF(ISNUMBER($B101),pd($C$7,$C101,$E$12,$C$12),"")</f>
        <v/>
      </c>
      <c r="H101" s="29" t="str">
        <f>IF(ISNUMBER($B101),pd($C$7,$C101,$E$13,$C$13),"")</f>
        <v/>
      </c>
      <c r="I101" s="29" t="str">
        <f t="shared" si="12"/>
        <v/>
      </c>
      <c r="J101" s="29" t="str">
        <f t="shared" si="13"/>
        <v/>
      </c>
      <c r="K101" s="29" t="str">
        <f t="shared" si="14"/>
        <v/>
      </c>
      <c r="L101" s="29" t="str">
        <f t="shared" si="15"/>
        <v/>
      </c>
      <c r="M101" s="29" t="str">
        <f t="shared" si="16"/>
        <v/>
      </c>
    </row>
    <row r="102" spans="2:13" x14ac:dyDescent="0.25">
      <c r="B102" s="4" t="str">
        <f t="shared" si="10"/>
        <v/>
      </c>
      <c r="C102" s="28">
        <f t="shared" si="11"/>
        <v>0</v>
      </c>
      <c r="D102" s="28" t="str">
        <f>IF(ISNUMBER(B102),pd($C$7,C102,$E$9,$C$9),"")</f>
        <v/>
      </c>
      <c r="E102" s="28" t="str">
        <f>IF(ISNUMBER($B102),pd($C$7,$C102,$E$10,$C$10),"")</f>
        <v/>
      </c>
      <c r="F102" s="28" t="str">
        <f>IF(ISNUMBER($B102),pd($C$7,$C102,$E$11,$C$11),"")</f>
        <v/>
      </c>
      <c r="G102" s="28" t="str">
        <f>IF(ISNUMBER($B102),pd($C$7,$C102,$E$12,$C$12),"")</f>
        <v/>
      </c>
      <c r="H102" s="28" t="str">
        <f>IF(ISNUMBER($B102),pd($C$7,$C102,$E$13,$C$13),"")</f>
        <v/>
      </c>
      <c r="I102" s="28" t="str">
        <f t="shared" si="12"/>
        <v/>
      </c>
      <c r="J102" s="28" t="str">
        <f t="shared" si="13"/>
        <v/>
      </c>
      <c r="K102" s="28" t="str">
        <f t="shared" si="14"/>
        <v/>
      </c>
      <c r="L102" s="28" t="str">
        <f t="shared" si="15"/>
        <v/>
      </c>
      <c r="M102" s="28" t="str">
        <f t="shared" si="16"/>
        <v/>
      </c>
    </row>
    <row r="103" spans="2:13" x14ac:dyDescent="0.25">
      <c r="B103" s="5" t="str">
        <f t="shared" si="10"/>
        <v/>
      </c>
      <c r="C103" s="29">
        <f t="shared" si="11"/>
        <v>0</v>
      </c>
      <c r="D103" s="29" t="str">
        <f>IF(ISNUMBER(B103),pd($C$7,C103,$E$9,$C$9),"")</f>
        <v/>
      </c>
      <c r="E103" s="29" t="str">
        <f>IF(ISNUMBER($B103),pd($C$7,$C103,$E$10,$C$10),"")</f>
        <v/>
      </c>
      <c r="F103" s="29" t="str">
        <f>IF(ISNUMBER($B103),pd($C$7,$C103,$E$11,$C$11),"")</f>
        <v/>
      </c>
      <c r="G103" s="29" t="str">
        <f>IF(ISNUMBER($B103),pd($C$7,$C103,$E$12,$C$12),"")</f>
        <v/>
      </c>
      <c r="H103" s="29" t="str">
        <f>IF(ISNUMBER($B103),pd($C$7,$C103,$E$13,$C$13),"")</f>
        <v/>
      </c>
      <c r="I103" s="29" t="str">
        <f t="shared" si="12"/>
        <v/>
      </c>
      <c r="J103" s="29" t="str">
        <f t="shared" si="13"/>
        <v/>
      </c>
      <c r="K103" s="29" t="str">
        <f t="shared" si="14"/>
        <v/>
      </c>
      <c r="L103" s="29" t="str">
        <f t="shared" si="15"/>
        <v/>
      </c>
      <c r="M103" s="29" t="str">
        <f t="shared" si="16"/>
        <v/>
      </c>
    </row>
    <row r="104" spans="2:13" x14ac:dyDescent="0.25">
      <c r="B104" s="4" t="str">
        <f t="shared" si="10"/>
        <v/>
      </c>
      <c r="C104" s="28">
        <f t="shared" si="11"/>
        <v>0</v>
      </c>
      <c r="D104" s="28" t="str">
        <f>IF(ISNUMBER(B104),pd($C$7,C104,$E$9,$C$9),"")</f>
        <v/>
      </c>
      <c r="E104" s="28" t="str">
        <f>IF(ISNUMBER($B104),pd($C$7,$C104,$E$10,$C$10),"")</f>
        <v/>
      </c>
      <c r="F104" s="28" t="str">
        <f>IF(ISNUMBER($B104),pd($C$7,$C104,$E$11,$C$11),"")</f>
        <v/>
      </c>
      <c r="G104" s="28" t="str">
        <f>IF(ISNUMBER($B104),pd($C$7,$C104,$E$12,$C$12),"")</f>
        <v/>
      </c>
      <c r="H104" s="28" t="str">
        <f>IF(ISNUMBER($B104),pd($C$7,$C104,$E$13,$C$13),"")</f>
        <v/>
      </c>
      <c r="I104" s="28" t="str">
        <f t="shared" si="12"/>
        <v/>
      </c>
      <c r="J104" s="28" t="str">
        <f t="shared" si="13"/>
        <v/>
      </c>
      <c r="K104" s="28" t="str">
        <f t="shared" si="14"/>
        <v/>
      </c>
      <c r="L104" s="28" t="str">
        <f t="shared" si="15"/>
        <v/>
      </c>
      <c r="M104" s="28" t="str">
        <f t="shared" si="16"/>
        <v/>
      </c>
    </row>
    <row r="105" spans="2:13" x14ac:dyDescent="0.25">
      <c r="B105" s="5" t="str">
        <f t="shared" si="10"/>
        <v/>
      </c>
      <c r="C105" s="29">
        <f t="shared" si="11"/>
        <v>0</v>
      </c>
      <c r="D105" s="29" t="str">
        <f>IF(ISNUMBER(B105),pd($C$7,C105,$E$9,$C$9),"")</f>
        <v/>
      </c>
      <c r="E105" s="29" t="str">
        <f>IF(ISNUMBER($B105),pd($C$7,$C105,$E$10,$C$10),"")</f>
        <v/>
      </c>
      <c r="F105" s="29" t="str">
        <f>IF(ISNUMBER($B105),pd($C$7,$C105,$E$11,$C$11),"")</f>
        <v/>
      </c>
      <c r="G105" s="29" t="str">
        <f>IF(ISNUMBER($B105),pd($C$7,$C105,$E$12,$C$12),"")</f>
        <v/>
      </c>
      <c r="H105" s="29" t="str">
        <f>IF(ISNUMBER($B105),pd($C$7,$C105,$E$13,$C$13),"")</f>
        <v/>
      </c>
      <c r="I105" s="29" t="str">
        <f t="shared" si="12"/>
        <v/>
      </c>
      <c r="J105" s="29" t="str">
        <f t="shared" si="13"/>
        <v/>
      </c>
      <c r="K105" s="29" t="str">
        <f t="shared" si="14"/>
        <v/>
      </c>
      <c r="L105" s="29" t="str">
        <f t="shared" si="15"/>
        <v/>
      </c>
      <c r="M105" s="29" t="str">
        <f t="shared" si="16"/>
        <v/>
      </c>
    </row>
    <row r="106" spans="2:13" x14ac:dyDescent="0.25">
      <c r="B106" s="4" t="str">
        <f t="shared" si="10"/>
        <v/>
      </c>
      <c r="C106" s="28">
        <f t="shared" si="11"/>
        <v>0</v>
      </c>
      <c r="D106" s="28" t="str">
        <f>IF(ISNUMBER(B106),pd($C$7,C106,$E$9,$C$9),"")</f>
        <v/>
      </c>
      <c r="E106" s="28" t="str">
        <f>IF(ISNUMBER($B106),pd($C$7,$C106,$E$10,$C$10),"")</f>
        <v/>
      </c>
      <c r="F106" s="28" t="str">
        <f>IF(ISNUMBER($B106),pd($C$7,$C106,$E$11,$C$11),"")</f>
        <v/>
      </c>
      <c r="G106" s="28" t="str">
        <f>IF(ISNUMBER($B106),pd($C$7,$C106,$E$12,$C$12),"")</f>
        <v/>
      </c>
      <c r="H106" s="28" t="str">
        <f>IF(ISNUMBER($B106),pd($C$7,$C106,$E$13,$C$13),"")</f>
        <v/>
      </c>
      <c r="I106" s="28" t="str">
        <f t="shared" si="12"/>
        <v/>
      </c>
      <c r="J106" s="28" t="str">
        <f t="shared" si="13"/>
        <v/>
      </c>
      <c r="K106" s="28" t="str">
        <f t="shared" si="14"/>
        <v/>
      </c>
      <c r="L106" s="28" t="str">
        <f t="shared" si="15"/>
        <v/>
      </c>
      <c r="M106" s="28" t="str">
        <f t="shared" si="16"/>
        <v/>
      </c>
    </row>
    <row r="107" spans="2:13" x14ac:dyDescent="0.25">
      <c r="B107" s="5" t="str">
        <f t="shared" si="10"/>
        <v/>
      </c>
      <c r="C107" s="29">
        <f t="shared" si="11"/>
        <v>0</v>
      </c>
      <c r="D107" s="29" t="str">
        <f>IF(ISNUMBER(B107),pd($C$7,C107,$E$9,$C$9),"")</f>
        <v/>
      </c>
      <c r="E107" s="29" t="str">
        <f>IF(ISNUMBER($B107),pd($C$7,$C107,$E$10,$C$10),"")</f>
        <v/>
      </c>
      <c r="F107" s="29" t="str">
        <f>IF(ISNUMBER($B107),pd($C$7,$C107,$E$11,$C$11),"")</f>
        <v/>
      </c>
      <c r="G107" s="29" t="str">
        <f>IF(ISNUMBER($B107),pd($C$7,$C107,$E$12,$C$12),"")</f>
        <v/>
      </c>
      <c r="H107" s="29" t="str">
        <f>IF(ISNUMBER($B107),pd($C$7,$C107,$E$13,$C$13),"")</f>
        <v/>
      </c>
      <c r="I107" s="29" t="str">
        <f t="shared" si="12"/>
        <v/>
      </c>
      <c r="J107" s="29" t="str">
        <f t="shared" si="13"/>
        <v/>
      </c>
      <c r="K107" s="29" t="str">
        <f t="shared" si="14"/>
        <v/>
      </c>
      <c r="L107" s="29" t="str">
        <f t="shared" si="15"/>
        <v/>
      </c>
      <c r="M107" s="29" t="str">
        <f t="shared" si="16"/>
        <v/>
      </c>
    </row>
    <row r="108" spans="2:13" x14ac:dyDescent="0.25">
      <c r="B108" s="4" t="str">
        <f t="shared" si="10"/>
        <v/>
      </c>
      <c r="C108" s="28">
        <f t="shared" si="11"/>
        <v>0</v>
      </c>
      <c r="D108" s="28" t="str">
        <f>IF(ISNUMBER(B108),pd($C$7,C108,$E$9,$C$9),"")</f>
        <v/>
      </c>
      <c r="E108" s="28" t="str">
        <f>IF(ISNUMBER($B108),pd($C$7,$C108,$E$10,$C$10),"")</f>
        <v/>
      </c>
      <c r="F108" s="28" t="str">
        <f>IF(ISNUMBER($B108),pd($C$7,$C108,$E$11,$C$11),"")</f>
        <v/>
      </c>
      <c r="G108" s="28" t="str">
        <f>IF(ISNUMBER($B108),pd($C$7,$C108,$E$12,$C$12),"")</f>
        <v/>
      </c>
      <c r="H108" s="28" t="str">
        <f>IF(ISNUMBER($B108),pd($C$7,$C108,$E$13,$C$13),"")</f>
        <v/>
      </c>
      <c r="I108" s="28" t="str">
        <f t="shared" si="12"/>
        <v/>
      </c>
      <c r="J108" s="28" t="str">
        <f t="shared" si="13"/>
        <v/>
      </c>
      <c r="K108" s="28" t="str">
        <f t="shared" si="14"/>
        <v/>
      </c>
      <c r="L108" s="28" t="str">
        <f t="shared" si="15"/>
        <v/>
      </c>
      <c r="M108" s="28" t="str">
        <f t="shared" si="16"/>
        <v/>
      </c>
    </row>
    <row r="109" spans="2:13" x14ac:dyDescent="0.25">
      <c r="B109" s="5" t="str">
        <f t="shared" si="10"/>
        <v/>
      </c>
      <c r="C109" s="29">
        <f t="shared" si="11"/>
        <v>0</v>
      </c>
      <c r="D109" s="29" t="str">
        <f>IF(ISNUMBER(B109),pd($C$7,C109,$E$9,$C$9),"")</f>
        <v/>
      </c>
      <c r="E109" s="29" t="str">
        <f>IF(ISNUMBER($B109),pd($C$7,$C109,$E$10,$C$10),"")</f>
        <v/>
      </c>
      <c r="F109" s="29" t="str">
        <f>IF(ISNUMBER($B109),pd($C$7,$C109,$E$11,$C$11),"")</f>
        <v/>
      </c>
      <c r="G109" s="29" t="str">
        <f>IF(ISNUMBER($B109),pd($C$7,$C109,$E$12,$C$12),"")</f>
        <v/>
      </c>
      <c r="H109" s="29" t="str">
        <f>IF(ISNUMBER($B109),pd($C$7,$C109,$E$13,$C$13),"")</f>
        <v/>
      </c>
      <c r="I109" s="29" t="str">
        <f t="shared" si="12"/>
        <v/>
      </c>
      <c r="J109" s="29" t="str">
        <f t="shared" si="13"/>
        <v/>
      </c>
      <c r="K109" s="29" t="str">
        <f t="shared" si="14"/>
        <v/>
      </c>
      <c r="L109" s="29" t="str">
        <f t="shared" si="15"/>
        <v/>
      </c>
      <c r="M109" s="29" t="str">
        <f t="shared" si="16"/>
        <v/>
      </c>
    </row>
    <row r="110" spans="2:13" x14ac:dyDescent="0.25">
      <c r="B110" s="4" t="str">
        <f t="shared" si="10"/>
        <v/>
      </c>
      <c r="C110" s="28">
        <f t="shared" si="11"/>
        <v>0</v>
      </c>
      <c r="D110" s="28" t="str">
        <f>IF(ISNUMBER(B110),pd($C$7,C110,$E$9,$C$9),"")</f>
        <v/>
      </c>
      <c r="E110" s="28" t="str">
        <f>IF(ISNUMBER($B110),pd($C$7,$C110,$E$10,$C$10),"")</f>
        <v/>
      </c>
      <c r="F110" s="28" t="str">
        <f>IF(ISNUMBER($B110),pd($C$7,$C110,$E$11,$C$11),"")</f>
        <v/>
      </c>
      <c r="G110" s="28" t="str">
        <f>IF(ISNUMBER($B110),pd($C$7,$C110,$E$12,$C$12),"")</f>
        <v/>
      </c>
      <c r="H110" s="28" t="str">
        <f>IF(ISNUMBER($B110),pd($C$7,$C110,$E$13,$C$13),"")</f>
        <v/>
      </c>
      <c r="I110" s="28" t="str">
        <f t="shared" si="12"/>
        <v/>
      </c>
      <c r="J110" s="28" t="str">
        <f t="shared" si="13"/>
        <v/>
      </c>
      <c r="K110" s="28" t="str">
        <f t="shared" si="14"/>
        <v/>
      </c>
      <c r="L110" s="28" t="str">
        <f t="shared" si="15"/>
        <v/>
      </c>
      <c r="M110" s="28" t="str">
        <f t="shared" si="16"/>
        <v/>
      </c>
    </row>
    <row r="111" spans="2:13" x14ac:dyDescent="0.25">
      <c r="B111" s="5" t="str">
        <f t="shared" si="10"/>
        <v/>
      </c>
      <c r="C111" s="29">
        <f t="shared" si="11"/>
        <v>0</v>
      </c>
      <c r="D111" s="29" t="str">
        <f>IF(ISNUMBER(B111),pd($C$7,C111,$E$9,$C$9),"")</f>
        <v/>
      </c>
      <c r="E111" s="29" t="str">
        <f>IF(ISNUMBER($B111),pd($C$7,$C111,$E$10,$C$10),"")</f>
        <v/>
      </c>
      <c r="F111" s="29" t="str">
        <f>IF(ISNUMBER($B111),pd($C$7,$C111,$E$11,$C$11),"")</f>
        <v/>
      </c>
      <c r="G111" s="29" t="str">
        <f>IF(ISNUMBER($B111),pd($C$7,$C111,$E$12,$C$12),"")</f>
        <v/>
      </c>
      <c r="H111" s="29" t="str">
        <f>IF(ISNUMBER($B111),pd($C$7,$C111,$E$13,$C$13),"")</f>
        <v/>
      </c>
      <c r="I111" s="29" t="str">
        <f t="shared" si="12"/>
        <v/>
      </c>
      <c r="J111" s="29" t="str">
        <f t="shared" si="13"/>
        <v/>
      </c>
      <c r="K111" s="29" t="str">
        <f t="shared" si="14"/>
        <v/>
      </c>
      <c r="L111" s="29" t="str">
        <f t="shared" si="15"/>
        <v/>
      </c>
      <c r="M111" s="29" t="str">
        <f t="shared" si="16"/>
        <v/>
      </c>
    </row>
    <row r="112" spans="2:13" x14ac:dyDescent="0.25">
      <c r="B112" s="4" t="str">
        <f t="shared" si="10"/>
        <v/>
      </c>
      <c r="C112" s="28">
        <f t="shared" si="11"/>
        <v>0</v>
      </c>
      <c r="D112" s="28" t="str">
        <f>IF(ISNUMBER(B112),pd($C$7,C112,$E$9,$C$9),"")</f>
        <v/>
      </c>
      <c r="E112" s="28" t="str">
        <f>IF(ISNUMBER($B112),pd($C$7,$C112,$E$10,$C$10),"")</f>
        <v/>
      </c>
      <c r="F112" s="28" t="str">
        <f>IF(ISNUMBER($B112),pd($C$7,$C112,$E$11,$C$11),"")</f>
        <v/>
      </c>
      <c r="G112" s="28" t="str">
        <f>IF(ISNUMBER($B112),pd($C$7,$C112,$E$12,$C$12),"")</f>
        <v/>
      </c>
      <c r="H112" s="28" t="str">
        <f>IF(ISNUMBER($B112),pd($C$7,$C112,$E$13,$C$13),"")</f>
        <v/>
      </c>
      <c r="I112" s="28" t="str">
        <f t="shared" si="12"/>
        <v/>
      </c>
      <c r="J112" s="28" t="str">
        <f t="shared" si="13"/>
        <v/>
      </c>
      <c r="K112" s="28" t="str">
        <f t="shared" si="14"/>
        <v/>
      </c>
      <c r="L112" s="28" t="str">
        <f t="shared" si="15"/>
        <v/>
      </c>
      <c r="M112" s="28" t="str">
        <f t="shared" si="16"/>
        <v/>
      </c>
    </row>
    <row r="113" spans="2:13" x14ac:dyDescent="0.25">
      <c r="B113" s="5" t="str">
        <f t="shared" si="10"/>
        <v/>
      </c>
      <c r="C113" s="29">
        <f t="shared" si="11"/>
        <v>0</v>
      </c>
      <c r="D113" s="29" t="str">
        <f>IF(ISNUMBER(B113),pd($C$7,C113,$E$9,$C$9),"")</f>
        <v/>
      </c>
      <c r="E113" s="29" t="str">
        <f>IF(ISNUMBER($B113),pd($C$7,$C113,$E$10,$C$10),"")</f>
        <v/>
      </c>
      <c r="F113" s="29" t="str">
        <f>IF(ISNUMBER($B113),pd($C$7,$C113,$E$11,$C$11),"")</f>
        <v/>
      </c>
      <c r="G113" s="29" t="str">
        <f>IF(ISNUMBER($B113),pd($C$7,$C113,$E$12,$C$12),"")</f>
        <v/>
      </c>
      <c r="H113" s="29" t="str">
        <f>IF(ISNUMBER($B113),pd($C$7,$C113,$E$13,$C$13),"")</f>
        <v/>
      </c>
      <c r="I113" s="29" t="str">
        <f t="shared" si="12"/>
        <v/>
      </c>
      <c r="J113" s="29" t="str">
        <f t="shared" si="13"/>
        <v/>
      </c>
      <c r="K113" s="29" t="str">
        <f t="shared" si="14"/>
        <v/>
      </c>
      <c r="L113" s="29" t="str">
        <f t="shared" si="15"/>
        <v/>
      </c>
      <c r="M113" s="29" t="str">
        <f t="shared" si="16"/>
        <v/>
      </c>
    </row>
    <row r="114" spans="2:13" x14ac:dyDescent="0.25">
      <c r="B114" s="4" t="str">
        <f t="shared" si="10"/>
        <v/>
      </c>
      <c r="C114" s="28">
        <f t="shared" si="11"/>
        <v>0</v>
      </c>
      <c r="D114" s="28" t="str">
        <f>IF(ISNUMBER(B114),pd($C$7,C114,$E$9,$C$9),"")</f>
        <v/>
      </c>
      <c r="E114" s="28" t="str">
        <f>IF(ISNUMBER($B114),pd($C$7,$C114,$E$10,$C$10),"")</f>
        <v/>
      </c>
      <c r="F114" s="28" t="str">
        <f>IF(ISNUMBER($B114),pd($C$7,$C114,$E$11,$C$11),"")</f>
        <v/>
      </c>
      <c r="G114" s="28" t="str">
        <f>IF(ISNUMBER($B114),pd($C$7,$C114,$E$12,$C$12),"")</f>
        <v/>
      </c>
      <c r="H114" s="28" t="str">
        <f>IF(ISNUMBER($B114),pd($C$7,$C114,$E$13,$C$13),"")</f>
        <v/>
      </c>
      <c r="I114" s="28" t="str">
        <f t="shared" si="12"/>
        <v/>
      </c>
      <c r="J114" s="28" t="str">
        <f t="shared" si="13"/>
        <v/>
      </c>
      <c r="K114" s="28" t="str">
        <f t="shared" si="14"/>
        <v/>
      </c>
      <c r="L114" s="28" t="str">
        <f t="shared" si="15"/>
        <v/>
      </c>
      <c r="M114" s="28" t="str">
        <f t="shared" si="16"/>
        <v/>
      </c>
    </row>
    <row r="115" spans="2:13" x14ac:dyDescent="0.25">
      <c r="B115" s="5" t="str">
        <f t="shared" si="10"/>
        <v/>
      </c>
      <c r="C115" s="29">
        <f t="shared" si="11"/>
        <v>0</v>
      </c>
      <c r="D115" s="29" t="str">
        <f>IF(ISNUMBER(B115),pd($C$7,C115,$E$9,$C$9),"")</f>
        <v/>
      </c>
      <c r="E115" s="29" t="str">
        <f>IF(ISNUMBER($B115),pd($C$7,$C115,$E$10,$C$10),"")</f>
        <v/>
      </c>
      <c r="F115" s="29" t="str">
        <f>IF(ISNUMBER($B115),pd($C$7,$C115,$E$11,$C$11),"")</f>
        <v/>
      </c>
      <c r="G115" s="29" t="str">
        <f>IF(ISNUMBER($B115),pd($C$7,$C115,$E$12,$C$12),"")</f>
        <v/>
      </c>
      <c r="H115" s="29" t="str">
        <f>IF(ISNUMBER($B115),pd($C$7,$C115,$E$13,$C$13),"")</f>
        <v/>
      </c>
      <c r="I115" s="29" t="str">
        <f t="shared" si="12"/>
        <v/>
      </c>
      <c r="J115" s="29" t="str">
        <f t="shared" si="13"/>
        <v/>
      </c>
      <c r="K115" s="29" t="str">
        <f t="shared" si="14"/>
        <v/>
      </c>
      <c r="L115" s="29" t="str">
        <f t="shared" si="15"/>
        <v/>
      </c>
      <c r="M115" s="29" t="str">
        <f t="shared" si="16"/>
        <v/>
      </c>
    </row>
    <row r="116" spans="2:13" x14ac:dyDescent="0.25">
      <c r="B116" s="4" t="str">
        <f t="shared" si="10"/>
        <v/>
      </c>
      <c r="C116" s="28">
        <f t="shared" si="11"/>
        <v>0</v>
      </c>
      <c r="D116" s="28" t="str">
        <f>IF(ISNUMBER(B116),pd($C$7,C116,$E$9,$C$9),"")</f>
        <v/>
      </c>
      <c r="E116" s="28" t="str">
        <f>IF(ISNUMBER($B116),pd($C$7,$C116,$E$10,$C$10),"")</f>
        <v/>
      </c>
      <c r="F116" s="28" t="str">
        <f>IF(ISNUMBER($B116),pd($C$7,$C116,$E$11,$C$11),"")</f>
        <v/>
      </c>
      <c r="G116" s="28" t="str">
        <f>IF(ISNUMBER($B116),pd($C$7,$C116,$E$12,$C$12),"")</f>
        <v/>
      </c>
      <c r="H116" s="28" t="str">
        <f>IF(ISNUMBER($B116),pd($C$7,$C116,$E$13,$C$13),"")</f>
        <v/>
      </c>
      <c r="I116" s="28" t="str">
        <f t="shared" si="12"/>
        <v/>
      </c>
      <c r="J116" s="28" t="str">
        <f t="shared" si="13"/>
        <v/>
      </c>
      <c r="K116" s="28" t="str">
        <f t="shared" si="14"/>
        <v/>
      </c>
      <c r="L116" s="28" t="str">
        <f t="shared" si="15"/>
        <v/>
      </c>
      <c r="M116" s="28" t="str">
        <f t="shared" si="16"/>
        <v/>
      </c>
    </row>
    <row r="117" spans="2:13" x14ac:dyDescent="0.25">
      <c r="B117" s="5" t="str">
        <f t="shared" si="10"/>
        <v/>
      </c>
      <c r="C117" s="29">
        <f t="shared" si="11"/>
        <v>0</v>
      </c>
      <c r="D117" s="29" t="str">
        <f>IF(ISNUMBER(B117),pd($C$7,C117,$E$9,$C$9),"")</f>
        <v/>
      </c>
      <c r="E117" s="29" t="str">
        <f>IF(ISNUMBER($B117),pd($C$7,$C117,$E$10,$C$10),"")</f>
        <v/>
      </c>
      <c r="F117" s="29" t="str">
        <f>IF(ISNUMBER($B117),pd($C$7,$C117,$E$11,$C$11),"")</f>
        <v/>
      </c>
      <c r="G117" s="29" t="str">
        <f>IF(ISNUMBER($B117),pd($C$7,$C117,$E$12,$C$12),"")</f>
        <v/>
      </c>
      <c r="H117" s="29" t="str">
        <f>IF(ISNUMBER($B117),pd($C$7,$C117,$E$13,$C$13),"")</f>
        <v/>
      </c>
      <c r="I117" s="29" t="str">
        <f t="shared" si="12"/>
        <v/>
      </c>
      <c r="J117" s="29" t="str">
        <f t="shared" si="13"/>
        <v/>
      </c>
      <c r="K117" s="29" t="str">
        <f t="shared" si="14"/>
        <v/>
      </c>
      <c r="L117" s="29" t="str">
        <f t="shared" si="15"/>
        <v/>
      </c>
      <c r="M117" s="29" t="str">
        <f t="shared" si="16"/>
        <v/>
      </c>
    </row>
    <row r="118" spans="2:13" x14ac:dyDescent="0.25">
      <c r="B118" s="4" t="str">
        <f t="shared" si="10"/>
        <v/>
      </c>
      <c r="C118" s="28">
        <f t="shared" si="11"/>
        <v>0</v>
      </c>
      <c r="D118" s="28" t="str">
        <f>IF(ISNUMBER(B118),pd($C$7,C118,$E$9,$C$9),"")</f>
        <v/>
      </c>
      <c r="E118" s="28" t="str">
        <f>IF(ISNUMBER($B118),pd($C$7,$C118,$E$10,$C$10),"")</f>
        <v/>
      </c>
      <c r="F118" s="28" t="str">
        <f>IF(ISNUMBER($B118),pd($C$7,$C118,$E$11,$C$11),"")</f>
        <v/>
      </c>
      <c r="G118" s="28" t="str">
        <f>IF(ISNUMBER($B118),pd($C$7,$C118,$E$12,$C$12),"")</f>
        <v/>
      </c>
      <c r="H118" s="28" t="str">
        <f>IF(ISNUMBER($B118),pd($C$7,$C118,$E$13,$C$13),"")</f>
        <v/>
      </c>
      <c r="I118" s="28" t="str">
        <f t="shared" si="12"/>
        <v/>
      </c>
      <c r="J118" s="28" t="str">
        <f t="shared" si="13"/>
        <v/>
      </c>
      <c r="K118" s="28" t="str">
        <f t="shared" si="14"/>
        <v/>
      </c>
      <c r="L118" s="28" t="str">
        <f t="shared" si="15"/>
        <v/>
      </c>
      <c r="M118" s="28" t="str">
        <f t="shared" si="16"/>
        <v/>
      </c>
    </row>
    <row r="119" spans="2:13" x14ac:dyDescent="0.25">
      <c r="B119" s="5" t="str">
        <f t="shared" si="10"/>
        <v/>
      </c>
      <c r="C119" s="29">
        <f t="shared" ref="C119:C121" si="17">IF(ISNUMBER(B119),C118*10^(($C$6-$C$5)/($C$16-1)),0)</f>
        <v>0</v>
      </c>
      <c r="D119" s="29" t="str">
        <f>IF(ISNUMBER(B119),pd($C$7,C119,$E$9,$C$9),"")</f>
        <v/>
      </c>
      <c r="E119" s="29" t="str">
        <f>IF(ISNUMBER($B119),pd($C$7,$C119,$E$10,$C$10),"")</f>
        <v/>
      </c>
      <c r="F119" s="29" t="str">
        <f>IF(ISNUMBER($B119),pd($C$7,$C119,$E$11,$C$11),"")</f>
        <v/>
      </c>
      <c r="G119" s="29" t="str">
        <f>IF(ISNUMBER($B119),pd($C$7,$C119,$E$12,$C$12),"")</f>
        <v/>
      </c>
      <c r="H119" s="29" t="str">
        <f>IF(ISNUMBER($B119),pd($C$7,$C119,$E$13,$C$13),"")</f>
        <v/>
      </c>
      <c r="I119" s="29" t="str">
        <f t="shared" si="12"/>
        <v/>
      </c>
      <c r="J119" s="29" t="str">
        <f t="shared" si="13"/>
        <v/>
      </c>
      <c r="K119" s="29" t="str">
        <f t="shared" si="14"/>
        <v/>
      </c>
      <c r="L119" s="29" t="str">
        <f t="shared" si="15"/>
        <v/>
      </c>
      <c r="M119" s="29" t="str">
        <f t="shared" si="16"/>
        <v/>
      </c>
    </row>
    <row r="120" spans="2:13" x14ac:dyDescent="0.25">
      <c r="B120" s="4" t="str">
        <f t="shared" si="10"/>
        <v/>
      </c>
      <c r="C120" s="28">
        <f t="shared" si="17"/>
        <v>0</v>
      </c>
      <c r="D120" s="28" t="str">
        <f>IF(ISNUMBER(B120),pd($C$7,C120,$E$9,$C$9),"")</f>
        <v/>
      </c>
      <c r="E120" s="28" t="str">
        <f>IF(ISNUMBER($B120),pd($C$7,$C120,$E$10,$C$10),"")</f>
        <v/>
      </c>
      <c r="F120" s="28" t="str">
        <f>IF(ISNUMBER($B120),pd($C$7,$C120,$E$11,$C$11),"")</f>
        <v/>
      </c>
      <c r="G120" s="28" t="str">
        <f>IF(ISNUMBER($B120),pd($C$7,$C120,$E$12,$C$12),"")</f>
        <v/>
      </c>
      <c r="H120" s="28" t="str">
        <f>IF(ISNUMBER($B120),pd($C$7,$C120,$E$13,$C$13),"")</f>
        <v/>
      </c>
      <c r="I120" s="28" t="str">
        <f t="shared" si="12"/>
        <v/>
      </c>
      <c r="J120" s="28" t="str">
        <f t="shared" si="13"/>
        <v/>
      </c>
      <c r="K120" s="28" t="str">
        <f t="shared" si="14"/>
        <v/>
      </c>
      <c r="L120" s="28" t="str">
        <f t="shared" si="15"/>
        <v/>
      </c>
      <c r="M120" s="28" t="str">
        <f t="shared" si="16"/>
        <v/>
      </c>
    </row>
    <row r="121" spans="2:13" ht="15.75" thickBot="1" x14ac:dyDescent="0.3">
      <c r="B121" s="19" t="str">
        <f t="shared" si="10"/>
        <v/>
      </c>
      <c r="C121" s="30">
        <f t="shared" si="17"/>
        <v>0</v>
      </c>
      <c r="D121" s="30" t="str">
        <f>IF(ISNUMBER(B121),pd($C$7,C121,$E$9,$C$9),"")</f>
        <v/>
      </c>
      <c r="E121" s="30" t="str">
        <f>IF(ISNUMBER($B121),pd($C$7,$C121,$E$10,$C$10),"")</f>
        <v/>
      </c>
      <c r="F121" s="30" t="str">
        <f>IF(ISNUMBER($B121),pd($C$7,$C121,$E$11,$C$11),"")</f>
        <v/>
      </c>
      <c r="G121" s="30" t="str">
        <f>IF(ISNUMBER($B121),pd($C$7,$C121,$E$12,$C$12),"")</f>
        <v/>
      </c>
      <c r="H121" s="30" t="str">
        <f>IF(ISNUMBER($B121),pd($C$7,$C121,$E$13,$C$13),"")</f>
        <v/>
      </c>
      <c r="I121" s="30" t="str">
        <f t="shared" si="12"/>
        <v/>
      </c>
      <c r="J121" s="30" t="str">
        <f t="shared" si="13"/>
        <v/>
      </c>
      <c r="K121" s="30" t="str">
        <f t="shared" si="14"/>
        <v/>
      </c>
      <c r="L121" s="30" t="str">
        <f t="shared" si="15"/>
        <v/>
      </c>
      <c r="M121" s="30" t="str">
        <f t="shared" si="16"/>
        <v/>
      </c>
    </row>
  </sheetData>
  <mergeCells count="5">
    <mergeCell ref="B1:P2"/>
    <mergeCell ref="D3:M3"/>
    <mergeCell ref="B15:C15"/>
    <mergeCell ref="B18:D18"/>
    <mergeCell ref="B20:D20"/>
  </mergeCells>
  <dataValidations disablePrompts="1" count="1">
    <dataValidation type="whole" allowBlank="1" showInputMessage="1" showErrorMessage="1" errorTitle="Error!" error="Max points: 100" promptTitle="Attention" prompt="Max points: 100" sqref="C16">
      <formula1>1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pinner 1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3</xdr:col>
                    <xdr:colOff>247650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3</xdr:col>
                    <xdr:colOff>0</xdr:colOff>
                    <xdr:row>8</xdr:row>
                    <xdr:rowOff>9525</xdr:rowOff>
                  </from>
                  <to>
                    <xdr:col>3</xdr:col>
                    <xdr:colOff>133350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142875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Spinner 4">
              <controlPr defaultSize="0" autoPict="0">
                <anchor moveWithCells="1" sizeWithCells="1">
                  <from>
                    <xdr:col>3</xdr:col>
                    <xdr:colOff>0</xdr:colOff>
                    <xdr:row>10</xdr:row>
                    <xdr:rowOff>9525</xdr:rowOff>
                  </from>
                  <to>
                    <xdr:col>3</xdr:col>
                    <xdr:colOff>133350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Spinner 5">
              <controlPr defaultSize="0" autoPict="0">
                <anchor moveWithCells="1" sizeWithCells="1">
                  <from>
                    <xdr:col>3</xdr:col>
                    <xdr:colOff>0</xdr:colOff>
                    <xdr:row>11</xdr:row>
                    <xdr:rowOff>9525</xdr:rowOff>
                  </from>
                  <to>
                    <xdr:col>3</xdr:col>
                    <xdr:colOff>133350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0</xdr:colOff>
                    <xdr:row>12</xdr:row>
                    <xdr:rowOff>9525</xdr:rowOff>
                  </from>
                  <to>
                    <xdr:col>3</xdr:col>
                    <xdr:colOff>133350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Spinner 7">
              <controlPr defaultSize="0" autoPict="0">
                <anchor moveWithCells="1" sizeWithCells="1">
                  <from>
                    <xdr:col>4</xdr:col>
                    <xdr:colOff>771525</xdr:colOff>
                    <xdr:row>8</xdr:row>
                    <xdr:rowOff>9525</xdr:rowOff>
                  </from>
                  <to>
                    <xdr:col>4</xdr:col>
                    <xdr:colOff>904875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Spinner 8">
              <controlPr defaultSize="0" autoPict="0">
                <anchor moveWithCells="1" sizeWithCells="1">
                  <from>
                    <xdr:col>4</xdr:col>
                    <xdr:colOff>771525</xdr:colOff>
                    <xdr:row>9</xdr:row>
                    <xdr:rowOff>19050</xdr:rowOff>
                  </from>
                  <to>
                    <xdr:col>4</xdr:col>
                    <xdr:colOff>904875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Spinner 9">
              <controlPr defaultSize="0" autoPict="0">
                <anchor moveWithCells="1" sizeWithCells="1">
                  <from>
                    <xdr:col>4</xdr:col>
                    <xdr:colOff>771525</xdr:colOff>
                    <xdr:row>10</xdr:row>
                    <xdr:rowOff>19050</xdr:rowOff>
                  </from>
                  <to>
                    <xdr:col>4</xdr:col>
                    <xdr:colOff>904875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Spinner 10">
              <controlPr defaultSize="0" autoPict="0">
                <anchor moveWithCells="1" sizeWithCells="1">
                  <from>
                    <xdr:col>4</xdr:col>
                    <xdr:colOff>771525</xdr:colOff>
                    <xdr:row>11</xdr:row>
                    <xdr:rowOff>19050</xdr:rowOff>
                  </from>
                  <to>
                    <xdr:col>4</xdr:col>
                    <xdr:colOff>904875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Spinner 11">
              <controlPr defaultSize="0" autoPict="0">
                <anchor moveWithCells="1" sizeWithCells="1">
                  <from>
                    <xdr:col>4</xdr:col>
                    <xdr:colOff>771525</xdr:colOff>
                    <xdr:row>12</xdr:row>
                    <xdr:rowOff>19050</xdr:rowOff>
                  </from>
                  <to>
                    <xdr:col>4</xdr:col>
                    <xdr:colOff>904875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Spinner 12">
              <controlPr defaultSize="0" autoPict="0">
                <anchor moveWithCells="1" sizeWithCells="1">
                  <from>
                    <xdr:col>4</xdr:col>
                    <xdr:colOff>771525</xdr:colOff>
                    <xdr:row>9</xdr:row>
                    <xdr:rowOff>9525</xdr:rowOff>
                  </from>
                  <to>
                    <xdr:col>4</xdr:col>
                    <xdr:colOff>904875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Spinner 13">
              <controlPr defaultSize="0" autoPict="0">
                <anchor moveWithCells="1" sizeWithCells="1">
                  <from>
                    <xdr:col>4</xdr:col>
                    <xdr:colOff>771525</xdr:colOff>
                    <xdr:row>10</xdr:row>
                    <xdr:rowOff>9525</xdr:rowOff>
                  </from>
                  <to>
                    <xdr:col>4</xdr:col>
                    <xdr:colOff>904875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Spinner 14">
              <controlPr defaultSize="0" autoPict="0">
                <anchor moveWithCells="1" sizeWithCells="1">
                  <from>
                    <xdr:col>4</xdr:col>
                    <xdr:colOff>771525</xdr:colOff>
                    <xdr:row>11</xdr:row>
                    <xdr:rowOff>9525</xdr:rowOff>
                  </from>
                  <to>
                    <xdr:col>4</xdr:col>
                    <xdr:colOff>904875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Spinner 15">
              <controlPr defaultSize="0" autoPict="0">
                <anchor moveWithCells="1" sizeWithCells="1">
                  <from>
                    <xdr:col>4</xdr:col>
                    <xdr:colOff>771525</xdr:colOff>
                    <xdr:row>12</xdr:row>
                    <xdr:rowOff>9525</xdr:rowOff>
                  </from>
                  <to>
                    <xdr:col>4</xdr:col>
                    <xdr:colOff>904875</xdr:colOff>
                    <xdr:row>12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3"/>
  <sheetViews>
    <sheetView workbookViewId="0">
      <selection activeCell="K5" sqref="K5"/>
    </sheetView>
  </sheetViews>
  <sheetFormatPr defaultRowHeight="15" x14ac:dyDescent="0.25"/>
  <cols>
    <col min="1" max="6" width="9.28515625" bestFit="1" customWidth="1"/>
    <col min="7" max="7" width="9.7109375" bestFit="1" customWidth="1"/>
    <col min="8" max="8" width="12" bestFit="1" customWidth="1"/>
    <col min="9" max="9" width="13.28515625" bestFit="1" customWidth="1"/>
    <col min="10" max="10" width="14.42578125" bestFit="1" customWidth="1"/>
    <col min="11" max="12" width="14.5703125" bestFit="1" customWidth="1"/>
  </cols>
  <sheetData>
    <row r="1" spans="1:12" ht="15.75" thickBot="1" x14ac:dyDescent="0.3">
      <c r="A1" s="8" t="s">
        <v>0</v>
      </c>
      <c r="B1" s="14">
        <v>2</v>
      </c>
      <c r="C1" s="12">
        <v>4</v>
      </c>
      <c r="D1" s="12">
        <v>6</v>
      </c>
      <c r="E1" s="12">
        <v>8</v>
      </c>
      <c r="F1" s="12">
        <v>10</v>
      </c>
      <c r="G1" s="12">
        <v>12</v>
      </c>
      <c r="H1" s="12">
        <v>14</v>
      </c>
      <c r="I1" s="12">
        <v>16</v>
      </c>
      <c r="J1" s="12">
        <v>18</v>
      </c>
      <c r="K1" s="12">
        <v>20</v>
      </c>
      <c r="L1" s="13">
        <v>22</v>
      </c>
    </row>
    <row r="2" spans="1:12" x14ac:dyDescent="0.25">
      <c r="A2" s="9">
        <v>1</v>
      </c>
      <c r="B2" s="15">
        <f t="shared" ref="B2:L11" si="0">v($A2,B$1)</f>
        <v>2</v>
      </c>
      <c r="C2" s="16">
        <f t="shared" si="0"/>
        <v>-2</v>
      </c>
      <c r="D2" s="16">
        <f t="shared" si="0"/>
        <v>1</v>
      </c>
      <c r="E2" s="16">
        <f t="shared" si="0"/>
        <v>-0.33333333333333331</v>
      </c>
      <c r="F2" s="16">
        <f t="shared" si="0"/>
        <v>8.3333333333333329E-2</v>
      </c>
      <c r="G2" s="16">
        <f t="shared" si="0"/>
        <v>-1.6666666666666666E-2</v>
      </c>
      <c r="H2" s="16">
        <f t="shared" si="0"/>
        <v>2.7777777777777779E-3</v>
      </c>
      <c r="I2" s="16">
        <f t="shared" si="0"/>
        <v>-3.9682539682539683E-4</v>
      </c>
      <c r="J2" s="16">
        <f t="shared" si="0"/>
        <v>4.9603174603174603E-5</v>
      </c>
      <c r="K2" s="16">
        <f t="shared" si="0"/>
        <v>-5.5114638447971785E-6</v>
      </c>
      <c r="L2" s="17">
        <f t="shared" si="0"/>
        <v>5.5114638447971777E-7</v>
      </c>
    </row>
    <row r="3" spans="1:12" x14ac:dyDescent="0.25">
      <c r="A3" s="10">
        <v>2</v>
      </c>
      <c r="B3" s="5">
        <f t="shared" si="0"/>
        <v>-2</v>
      </c>
      <c r="C3" s="3">
        <f t="shared" si="0"/>
        <v>26</v>
      </c>
      <c r="D3" s="3">
        <f t="shared" si="0"/>
        <v>-49</v>
      </c>
      <c r="E3" s="3">
        <f t="shared" si="0"/>
        <v>48.333333333333336</v>
      </c>
      <c r="F3" s="3">
        <f t="shared" si="0"/>
        <v>-32.083333333333336</v>
      </c>
      <c r="G3" s="3">
        <f t="shared" si="0"/>
        <v>16.016666666666666</v>
      </c>
      <c r="H3" s="3">
        <f t="shared" si="0"/>
        <v>-6.4027777777777786</v>
      </c>
      <c r="I3" s="3">
        <f t="shared" si="0"/>
        <v>2.1337301587301587</v>
      </c>
      <c r="J3" s="3">
        <f t="shared" si="0"/>
        <v>-0.60957341269841281</v>
      </c>
      <c r="K3" s="3">
        <f t="shared" si="0"/>
        <v>0.1523864638447972</v>
      </c>
      <c r="L3" s="18">
        <f t="shared" si="0"/>
        <v>-3.3862985008818347E-2</v>
      </c>
    </row>
    <row r="4" spans="1:12" x14ac:dyDescent="0.25">
      <c r="A4" s="10">
        <v>3</v>
      </c>
      <c r="B4" s="4"/>
      <c r="C4" s="2">
        <f t="shared" si="0"/>
        <v>-48</v>
      </c>
      <c r="D4" s="2">
        <f t="shared" si="0"/>
        <v>366</v>
      </c>
      <c r="E4" s="2">
        <f t="shared" si="0"/>
        <v>-906</v>
      </c>
      <c r="F4" s="2">
        <f t="shared" si="0"/>
        <v>1279</v>
      </c>
      <c r="G4" s="2">
        <f t="shared" si="0"/>
        <v>-1247</v>
      </c>
      <c r="H4" s="2">
        <f t="shared" si="0"/>
        <v>924.05</v>
      </c>
      <c r="I4" s="2">
        <f t="shared" si="0"/>
        <v>-551.01666666666665</v>
      </c>
      <c r="J4" s="2">
        <f t="shared" si="0"/>
        <v>274.59404761904761</v>
      </c>
      <c r="K4" s="2">
        <f t="shared" si="0"/>
        <v>-117.4654761904762</v>
      </c>
      <c r="L4" s="6">
        <f t="shared" si="0"/>
        <v>44.002992724867724</v>
      </c>
    </row>
    <row r="5" spans="1:12" x14ac:dyDescent="0.25">
      <c r="A5" s="10">
        <v>4</v>
      </c>
      <c r="B5" s="5"/>
      <c r="C5" s="3">
        <f t="shared" si="0"/>
        <v>24</v>
      </c>
      <c r="D5" s="3">
        <f t="shared" si="0"/>
        <v>-858</v>
      </c>
      <c r="E5" s="3">
        <f t="shared" si="0"/>
        <v>5464.6666666666661</v>
      </c>
      <c r="F5" s="3">
        <f t="shared" si="0"/>
        <v>-15623.666666666666</v>
      </c>
      <c r="G5" s="3">
        <f t="shared" si="0"/>
        <v>27554.333333333332</v>
      </c>
      <c r="H5" s="3">
        <f t="shared" si="0"/>
        <v>-34597.927777777775</v>
      </c>
      <c r="I5" s="3">
        <f t="shared" si="0"/>
        <v>33500.161111111112</v>
      </c>
      <c r="J5" s="3">
        <f t="shared" si="0"/>
        <v>-26306.956746031745</v>
      </c>
      <c r="K5" s="3">
        <f t="shared" si="0"/>
        <v>17342.449338624338</v>
      </c>
      <c r="L5" s="18">
        <f t="shared" si="0"/>
        <v>-9840.8767030423278</v>
      </c>
    </row>
    <row r="6" spans="1:12" x14ac:dyDescent="0.25">
      <c r="A6" s="10">
        <v>5</v>
      </c>
      <c r="B6" s="4"/>
      <c r="C6" s="2"/>
      <c r="D6" s="2">
        <f t="shared" si="0"/>
        <v>810</v>
      </c>
      <c r="E6" s="2">
        <f t="shared" si="0"/>
        <v>-14376.666666666666</v>
      </c>
      <c r="F6" s="2">
        <f t="shared" si="0"/>
        <v>84244.166666666657</v>
      </c>
      <c r="G6" s="2">
        <f t="shared" si="0"/>
        <v>-263280.83333333331</v>
      </c>
      <c r="H6" s="2">
        <f t="shared" si="0"/>
        <v>540321.11111111112</v>
      </c>
      <c r="I6" s="2">
        <f t="shared" si="0"/>
        <v>-812665.11111111112</v>
      </c>
      <c r="J6" s="2">
        <f t="shared" si="0"/>
        <v>957257.20138888888</v>
      </c>
      <c r="K6" s="2">
        <f t="shared" si="0"/>
        <v>-922806.92890211637</v>
      </c>
      <c r="L6" s="6">
        <f t="shared" si="0"/>
        <v>751044.77686838619</v>
      </c>
    </row>
    <row r="7" spans="1:12" x14ac:dyDescent="0.25">
      <c r="A7" s="10">
        <v>6</v>
      </c>
      <c r="B7" s="5"/>
      <c r="C7" s="3"/>
      <c r="D7" s="3">
        <f t="shared" si="0"/>
        <v>-270</v>
      </c>
      <c r="E7" s="3">
        <f t="shared" si="0"/>
        <v>18730</v>
      </c>
      <c r="F7" s="3">
        <f t="shared" si="0"/>
        <v>-236957.5</v>
      </c>
      <c r="G7" s="3">
        <f t="shared" si="0"/>
        <v>1324138.7</v>
      </c>
      <c r="H7" s="3">
        <f t="shared" si="0"/>
        <v>-4398346.3666666672</v>
      </c>
      <c r="I7" s="3">
        <f t="shared" si="0"/>
        <v>10076183.766666666</v>
      </c>
      <c r="J7" s="3">
        <f t="shared" si="0"/>
        <v>-17358694.845833331</v>
      </c>
      <c r="K7" s="3">
        <f t="shared" si="0"/>
        <v>23774087.787103176</v>
      </c>
      <c r="L7" s="18">
        <f t="shared" si="0"/>
        <v>-26898160.032073416</v>
      </c>
    </row>
    <row r="8" spans="1:12" x14ac:dyDescent="0.25">
      <c r="A8" s="10">
        <v>7</v>
      </c>
      <c r="B8" s="4"/>
      <c r="C8" s="2"/>
      <c r="D8" s="2"/>
      <c r="E8" s="2">
        <f t="shared" si="0"/>
        <v>-11946.666666666666</v>
      </c>
      <c r="F8" s="2">
        <f t="shared" si="0"/>
        <v>375911.66666666669</v>
      </c>
      <c r="G8" s="2">
        <f t="shared" si="0"/>
        <v>-3891705.5333333332</v>
      </c>
      <c r="H8" s="2">
        <f t="shared" si="0"/>
        <v>21087591.777777776</v>
      </c>
      <c r="I8" s="2">
        <f t="shared" si="0"/>
        <v>-73241382.977777779</v>
      </c>
      <c r="J8" s="2">
        <f t="shared" si="0"/>
        <v>182421222.64722222</v>
      </c>
      <c r="K8" s="2">
        <f t="shared" si="0"/>
        <v>-349421166.19537032</v>
      </c>
      <c r="L8" s="6">
        <f t="shared" si="0"/>
        <v>539555532.39425921</v>
      </c>
    </row>
    <row r="9" spans="1:12" x14ac:dyDescent="0.25">
      <c r="A9" s="10">
        <v>8</v>
      </c>
      <c r="B9" s="5"/>
      <c r="C9" s="3"/>
      <c r="D9" s="3"/>
      <c r="E9" s="3">
        <f t="shared" si="0"/>
        <v>2986.6666666666665</v>
      </c>
      <c r="F9" s="3">
        <f t="shared" si="0"/>
        <v>-340071.66666666669</v>
      </c>
      <c r="G9" s="3">
        <f t="shared" si="0"/>
        <v>7053286.333333333</v>
      </c>
      <c r="H9" s="3">
        <f t="shared" si="0"/>
        <v>-63944913.044444442</v>
      </c>
      <c r="I9" s="3">
        <f t="shared" si="0"/>
        <v>339059632.07301587</v>
      </c>
      <c r="J9" s="3">
        <f t="shared" si="0"/>
        <v>-1218533288.3091269</v>
      </c>
      <c r="K9" s="3">
        <f t="shared" si="0"/>
        <v>3241369852.2318783</v>
      </c>
      <c r="L9" s="18">
        <f t="shared" si="0"/>
        <v>-6761191331.7695761</v>
      </c>
    </row>
    <row r="10" spans="1:12" x14ac:dyDescent="0.25">
      <c r="A10" s="10">
        <v>9</v>
      </c>
      <c r="B10" s="4"/>
      <c r="C10" s="2"/>
      <c r="D10" s="2"/>
      <c r="E10" s="2"/>
      <c r="F10" s="2">
        <f t="shared" si="0"/>
        <v>164062.5</v>
      </c>
      <c r="G10" s="2">
        <f t="shared" si="0"/>
        <v>-8005336.5</v>
      </c>
      <c r="H10" s="2">
        <f t="shared" si="0"/>
        <v>127597579.55</v>
      </c>
      <c r="I10" s="2">
        <f t="shared" si="0"/>
        <v>-1052539536.2785714</v>
      </c>
      <c r="J10" s="2">
        <f t="shared" si="0"/>
        <v>5491680025.2830353</v>
      </c>
      <c r="K10" s="2">
        <f t="shared" si="0"/>
        <v>-20276948307.237797</v>
      </c>
      <c r="L10" s="6">
        <f t="shared" si="0"/>
        <v>56883407469.110565</v>
      </c>
    </row>
    <row r="11" spans="1:12" x14ac:dyDescent="0.25">
      <c r="A11" s="10">
        <v>10</v>
      </c>
      <c r="B11" s="5"/>
      <c r="C11" s="3"/>
      <c r="D11" s="3"/>
      <c r="E11" s="3"/>
      <c r="F11" s="3">
        <f t="shared" si="0"/>
        <v>-32812.5</v>
      </c>
      <c r="G11" s="3">
        <f t="shared" si="0"/>
        <v>5552830.5</v>
      </c>
      <c r="H11" s="3">
        <f t="shared" si="0"/>
        <v>-170137188.08333334</v>
      </c>
      <c r="I11" s="3">
        <f t="shared" si="0"/>
        <v>2259013328.5833335</v>
      </c>
      <c r="J11" s="3">
        <f t="shared" si="0"/>
        <v>-17362131115.206844</v>
      </c>
      <c r="K11" s="3">
        <f t="shared" si="0"/>
        <v>89464829823.797226</v>
      </c>
      <c r="L11" s="18">
        <f t="shared" si="0"/>
        <v>-337656535904.67517</v>
      </c>
    </row>
    <row r="12" spans="1:12" x14ac:dyDescent="0.25">
      <c r="A12" s="10">
        <v>11</v>
      </c>
      <c r="B12" s="4"/>
      <c r="C12" s="2"/>
      <c r="D12" s="2"/>
      <c r="E12" s="2"/>
      <c r="F12" s="2"/>
      <c r="G12" s="2">
        <f t="shared" ref="G12:L23" si="1">v($A12,G$1)</f>
        <v>-2155507.2000000002</v>
      </c>
      <c r="H12" s="2">
        <f t="shared" si="1"/>
        <v>150327467.03333333</v>
      </c>
      <c r="I12" s="2">
        <f t="shared" si="1"/>
        <v>-3399701984.4333334</v>
      </c>
      <c r="J12" s="2">
        <f t="shared" si="1"/>
        <v>39455096903.527382</v>
      </c>
      <c r="K12" s="2">
        <f t="shared" si="1"/>
        <v>-287020921147.10266</v>
      </c>
      <c r="L12" s="6">
        <f t="shared" si="1"/>
        <v>1464350792261.3601</v>
      </c>
    </row>
    <row r="13" spans="1:12" x14ac:dyDescent="0.25">
      <c r="A13" s="10">
        <v>12</v>
      </c>
      <c r="B13" s="5"/>
      <c r="C13" s="3"/>
      <c r="D13" s="3"/>
      <c r="E13" s="3"/>
      <c r="F13" s="3"/>
      <c r="G13" s="3">
        <f t="shared" si="1"/>
        <v>359251.20000000001</v>
      </c>
      <c r="H13" s="3">
        <f t="shared" si="1"/>
        <v>-84592161.5</v>
      </c>
      <c r="I13" s="3">
        <f t="shared" si="1"/>
        <v>3582450461.6999998</v>
      </c>
      <c r="J13" s="3">
        <f t="shared" si="1"/>
        <v>-65266516985.175003</v>
      </c>
      <c r="K13" s="3">
        <f t="shared" si="1"/>
        <v>682992010281.51147</v>
      </c>
      <c r="L13" s="18">
        <f t="shared" si="1"/>
        <v>-4754724458878.6943</v>
      </c>
    </row>
    <row r="14" spans="1:12" x14ac:dyDescent="0.25">
      <c r="A14" s="10">
        <v>13</v>
      </c>
      <c r="B14" s="4"/>
      <c r="C14" s="2"/>
      <c r="D14" s="2"/>
      <c r="E14" s="2"/>
      <c r="F14" s="2"/>
      <c r="G14" s="2"/>
      <c r="H14" s="2">
        <f t="shared" si="1"/>
        <v>27478884.766666666</v>
      </c>
      <c r="I14" s="2">
        <f t="shared" si="1"/>
        <v>-2591494081.3666668</v>
      </c>
      <c r="J14" s="2">
        <f t="shared" si="1"/>
        <v>78730068328.220825</v>
      </c>
      <c r="K14" s="2">
        <f t="shared" si="1"/>
        <v>-1219082330054.3738</v>
      </c>
      <c r="L14" s="6">
        <f t="shared" si="1"/>
        <v>11751635087350.975</v>
      </c>
    </row>
    <row r="15" spans="1:12" x14ac:dyDescent="0.25">
      <c r="A15" s="10">
        <v>14</v>
      </c>
      <c r="B15" s="5"/>
      <c r="C15" s="3"/>
      <c r="D15" s="3"/>
      <c r="E15" s="3"/>
      <c r="F15" s="3"/>
      <c r="G15" s="3"/>
      <c r="H15" s="3">
        <f t="shared" si="1"/>
        <v>-3925554.9666666668</v>
      </c>
      <c r="I15" s="3">
        <f t="shared" si="1"/>
        <v>1227049828.7666667</v>
      </c>
      <c r="J15" s="3">
        <f t="shared" si="1"/>
        <v>-68556444196.120834</v>
      </c>
      <c r="K15" s="3">
        <f t="shared" si="1"/>
        <v>1637573800842.0137</v>
      </c>
      <c r="L15" s="18">
        <f t="shared" si="1"/>
        <v>-22330204094554.57</v>
      </c>
    </row>
    <row r="16" spans="1:12" x14ac:dyDescent="0.25">
      <c r="A16" s="10">
        <v>15</v>
      </c>
      <c r="B16" s="4"/>
      <c r="C16" s="2"/>
      <c r="D16" s="2"/>
      <c r="E16" s="2"/>
      <c r="F16" s="2"/>
      <c r="G16" s="2"/>
      <c r="H16" s="2"/>
      <c r="I16" s="2">
        <f t="shared" si="1"/>
        <v>-342734555.4285714</v>
      </c>
      <c r="J16" s="2">
        <f t="shared" si="1"/>
        <v>41984343475.053574</v>
      </c>
      <c r="K16" s="2">
        <f t="shared" si="1"/>
        <v>-1647177486836.1172</v>
      </c>
      <c r="L16" s="6">
        <f t="shared" si="1"/>
        <v>32751984310526.664</v>
      </c>
    </row>
    <row r="17" spans="1:12" x14ac:dyDescent="0.25">
      <c r="A17" s="10">
        <v>16</v>
      </c>
      <c r="B17" s="5"/>
      <c r="C17" s="3"/>
      <c r="D17" s="3"/>
      <c r="E17" s="3"/>
      <c r="F17" s="3"/>
      <c r="G17" s="3"/>
      <c r="H17" s="3"/>
      <c r="I17" s="3">
        <f t="shared" si="1"/>
        <v>42841819.428571425</v>
      </c>
      <c r="J17" s="3">
        <f t="shared" si="1"/>
        <v>-17160934711.839287</v>
      </c>
      <c r="K17" s="3">
        <f t="shared" si="1"/>
        <v>1221924554444.2256</v>
      </c>
      <c r="L17" s="18">
        <f t="shared" si="1"/>
        <v>-37001087000007.453</v>
      </c>
    </row>
    <row r="18" spans="1:12" x14ac:dyDescent="0.25">
      <c r="A18" s="10">
        <v>17</v>
      </c>
      <c r="B18" s="4"/>
      <c r="C18" s="2"/>
      <c r="D18" s="2"/>
      <c r="E18" s="2"/>
      <c r="F18" s="2"/>
      <c r="G18" s="2"/>
      <c r="H18" s="2"/>
      <c r="I18" s="2"/>
      <c r="J18" s="2">
        <f t="shared" si="1"/>
        <v>4204550039.1026788</v>
      </c>
      <c r="K18" s="2">
        <f t="shared" si="1"/>
        <v>-648806558817.53259</v>
      </c>
      <c r="L18" s="6">
        <f t="shared" si="1"/>
        <v>31904336271506.508</v>
      </c>
    </row>
    <row r="19" spans="1:12" x14ac:dyDescent="0.25">
      <c r="A19" s="10">
        <v>18</v>
      </c>
      <c r="B19" s="5"/>
      <c r="C19" s="3"/>
      <c r="D19" s="3"/>
      <c r="E19" s="3"/>
      <c r="F19" s="3"/>
      <c r="G19" s="3"/>
      <c r="H19" s="3"/>
      <c r="I19" s="3"/>
      <c r="J19" s="3">
        <f t="shared" si="1"/>
        <v>-467172226.56696427</v>
      </c>
      <c r="K19" s="3">
        <f t="shared" si="1"/>
        <v>233316653213.70587</v>
      </c>
      <c r="L19" s="18">
        <f t="shared" si="1"/>
        <v>-20613181442826.824</v>
      </c>
    </row>
    <row r="20" spans="1:12" x14ac:dyDescent="0.25">
      <c r="A20" s="10">
        <v>19</v>
      </c>
      <c r="B20" s="4"/>
      <c r="C20" s="2"/>
      <c r="D20" s="2"/>
      <c r="E20" s="2"/>
      <c r="F20" s="2"/>
      <c r="G20" s="2"/>
      <c r="H20" s="2"/>
      <c r="I20" s="2"/>
      <c r="J20" s="2"/>
      <c r="K20" s="2">
        <f t="shared" si="1"/>
        <v>-50913800705.467377</v>
      </c>
      <c r="L20" s="6">
        <f t="shared" si="1"/>
        <v>9660707975007.0898</v>
      </c>
    </row>
    <row r="21" spans="1:12" x14ac:dyDescent="0.25">
      <c r="A21" s="10">
        <v>20</v>
      </c>
      <c r="B21" s="5"/>
      <c r="C21" s="3"/>
      <c r="D21" s="3"/>
      <c r="E21" s="3"/>
      <c r="F21" s="3"/>
      <c r="G21" s="3"/>
      <c r="H21" s="3"/>
      <c r="I21" s="3"/>
      <c r="J21" s="3"/>
      <c r="K21" s="3">
        <f t="shared" si="1"/>
        <v>5091380070.5467377</v>
      </c>
      <c r="L21" s="18">
        <f t="shared" si="1"/>
        <v>-3101437123356.2729</v>
      </c>
    </row>
    <row r="22" spans="1:12" x14ac:dyDescent="0.25">
      <c r="A22" s="10">
        <v>21</v>
      </c>
      <c r="B22" s="4"/>
      <c r="C22" s="2"/>
      <c r="D22" s="2"/>
      <c r="E22" s="2"/>
      <c r="F22" s="2"/>
      <c r="G22" s="2"/>
      <c r="H22" s="2"/>
      <c r="I22" s="2"/>
      <c r="J22" s="2"/>
      <c r="K22" s="2"/>
      <c r="L22" s="6">
        <f t="shared" si="1"/>
        <v>610104664530.16113</v>
      </c>
    </row>
    <row r="23" spans="1:12" ht="15.75" thickBot="1" x14ac:dyDescent="0.3">
      <c r="A23" s="11">
        <v>22</v>
      </c>
      <c r="B23" s="19"/>
      <c r="C23" s="20"/>
      <c r="D23" s="20"/>
      <c r="E23" s="20"/>
      <c r="F23" s="20"/>
      <c r="G23" s="20"/>
      <c r="H23" s="20"/>
      <c r="I23" s="20"/>
      <c r="J23" s="20"/>
      <c r="K23" s="20"/>
      <c r="L23" s="21">
        <f t="shared" si="1"/>
        <v>-55464060411.832825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pD-Calculator-Range</vt:lpstr>
      <vt:lpstr>pD-TC</vt:lpstr>
      <vt:lpstr>pD-p'D-TC</vt:lpstr>
      <vt:lpstr>Vi-Coefficients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</dc:creator>
  <cp:lastModifiedBy>Mohammad</cp:lastModifiedBy>
  <dcterms:created xsi:type="dcterms:W3CDTF">2013-03-06T11:30:30Z</dcterms:created>
  <dcterms:modified xsi:type="dcterms:W3CDTF">2021-03-06T13:44:35Z</dcterms:modified>
</cp:coreProperties>
</file>